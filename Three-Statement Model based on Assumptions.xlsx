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39fd6befc897a7/Documents/"/>
    </mc:Choice>
  </mc:AlternateContent>
  <xr:revisionPtr revIDLastSave="213" documentId="8_{141C4772-211F-4284-BD5A-AF9BC19E073C}" xr6:coauthVersionLast="47" xr6:coauthVersionMax="47" xr10:uidLastSave="{044EA2A5-6D75-4A22-AF5C-40327C447490}"/>
  <bookViews>
    <workbookView xWindow="-108" yWindow="-108" windowWidth="23256" windowHeight="12456" tabRatio="773" firstSheet="1" activeTab="5" xr2:uid="{4FE95428-231C-4CD3-9ACA-52FF7A4C41E3}"/>
  </bookViews>
  <sheets>
    <sheet name="Assumptions" sheetId="1" r:id="rId1"/>
    <sheet name="Income Statement" sheetId="2" r:id="rId2"/>
    <sheet name="Balance Sheet" sheetId="3" r:id="rId3"/>
    <sheet name="Cash Flow Statement" sheetId="4" r:id="rId4"/>
    <sheet name="Dashboard" sheetId="5" r:id="rId5"/>
    <sheet name="DCF" sheetId="6" r:id="rId6"/>
    <sheet name="WACC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6" l="1" a="1"/>
  <c r="F77" i="6" s="1"/>
  <c r="E77" i="6" a="1"/>
  <c r="E77" i="6" s="1"/>
  <c r="D77" i="6" a="1"/>
  <c r="D77" i="6" s="1"/>
  <c r="C77" i="6" a="1"/>
  <c r="C77" i="6" s="1"/>
  <c r="B77" i="6" a="1"/>
  <c r="B77" i="6" s="1"/>
  <c r="F76" i="6" a="1"/>
  <c r="F76" i="6" s="1"/>
  <c r="E76" i="6" a="1"/>
  <c r="E76" i="6" s="1"/>
  <c r="D76" i="6" a="1"/>
  <c r="D76" i="6" s="1"/>
  <c r="C76" i="6" a="1"/>
  <c r="C76" i="6" s="1"/>
  <c r="B76" i="6" a="1"/>
  <c r="B76" i="6" s="1"/>
  <c r="F75" i="6" a="1"/>
  <c r="F75" i="6" s="1"/>
  <c r="E75" i="6" a="1"/>
  <c r="E75" i="6" s="1"/>
  <c r="D75" i="6" a="1"/>
  <c r="D75" i="6" s="1"/>
  <c r="C75" i="6" a="1"/>
  <c r="C75" i="6" s="1"/>
  <c r="B75" i="6" a="1"/>
  <c r="B75" i="6"/>
  <c r="F74" i="6" a="1"/>
  <c r="F74" i="6" s="1"/>
  <c r="E74" i="6" a="1"/>
  <c r="E74" i="6" s="1"/>
  <c r="D74" i="6" a="1"/>
  <c r="D74" i="6" s="1"/>
  <c r="C74" i="6" a="1"/>
  <c r="C74" i="6"/>
  <c r="B74" i="6" a="1"/>
  <c r="B74" i="6"/>
  <c r="B71" i="6"/>
  <c r="B73" i="6" s="1" a="1"/>
  <c r="B73" i="6" s="1"/>
  <c r="C71" i="6"/>
  <c r="D71" i="6"/>
  <c r="E71" i="6"/>
  <c r="F71" i="6"/>
  <c r="A73" i="6"/>
  <c r="C73" i="6" a="1"/>
  <c r="C73" i="6" s="1"/>
  <c r="D73" i="6" a="1"/>
  <c r="D73" i="6" s="1"/>
  <c r="E73" i="6" a="1"/>
  <c r="E73" i="6" s="1"/>
  <c r="F73" i="6" a="1"/>
  <c r="F73" i="6" s="1"/>
  <c r="A74" i="6"/>
  <c r="A75" i="6"/>
  <c r="A76" i="6"/>
  <c r="A77" i="6"/>
  <c r="B63" i="6"/>
  <c r="C63" i="6"/>
  <c r="D63" i="6"/>
  <c r="E63" i="6"/>
  <c r="F63" i="6"/>
  <c r="B64" i="6"/>
  <c r="C64" i="6"/>
  <c r="D64" i="6"/>
  <c r="E64" i="6"/>
  <c r="F64" i="6"/>
  <c r="B65" i="6"/>
  <c r="C65" i="6"/>
  <c r="D65" i="6"/>
  <c r="E65" i="6"/>
  <c r="F65" i="6"/>
  <c r="B66" i="6"/>
  <c r="C66" i="6"/>
  <c r="D66" i="6"/>
  <c r="E66" i="6"/>
  <c r="F66" i="6"/>
  <c r="B67" i="6"/>
  <c r="C67" i="6"/>
  <c r="D67" i="6"/>
  <c r="E67" i="6"/>
  <c r="F67" i="6"/>
  <c r="B51" i="6"/>
  <c r="B56" i="6" s="1" a="1"/>
  <c r="B56" i="6" s="1"/>
  <c r="C51" i="6"/>
  <c r="C53" i="6" s="1" a="1"/>
  <c r="C53" i="6" s="1"/>
  <c r="D51" i="6"/>
  <c r="E51" i="6"/>
  <c r="F51" i="6"/>
  <c r="A53" i="6"/>
  <c r="B53" i="6" a="1"/>
  <c r="B53" i="6" s="1"/>
  <c r="D53" i="6" a="1"/>
  <c r="D53" i="6" s="1"/>
  <c r="E53" i="6" a="1"/>
  <c r="E53" i="6" s="1"/>
  <c r="F53" i="6" a="1"/>
  <c r="F53" i="6"/>
  <c r="A54" i="6"/>
  <c r="C54" i="6" s="1" a="1"/>
  <c r="C54" i="6" s="1"/>
  <c r="B54" i="6" a="1"/>
  <c r="B54" i="6" s="1"/>
  <c r="A55" i="6"/>
  <c r="E55" i="6" s="1" a="1"/>
  <c r="E55" i="6" s="1"/>
  <c r="D55" i="6" a="1"/>
  <c r="D55" i="6"/>
  <c r="A56" i="6"/>
  <c r="D56" i="6" a="1"/>
  <c r="D56" i="6" s="1"/>
  <c r="E56" i="6" a="1"/>
  <c r="E56" i="6" s="1"/>
  <c r="F56" i="6" a="1"/>
  <c r="F56" i="6" s="1"/>
  <c r="A57" i="6"/>
  <c r="B57" i="6" s="1" a="1"/>
  <c r="B57" i="6" s="1"/>
  <c r="B37" i="6"/>
  <c r="B38" i="6"/>
  <c r="B39" i="6"/>
  <c r="B41" i="6" s="1"/>
  <c r="B44" i="6" s="1"/>
  <c r="B40" i="6"/>
  <c r="B43" i="6"/>
  <c r="B47" i="6"/>
  <c r="B48" i="6"/>
  <c r="B26" i="6"/>
  <c r="C26" i="6"/>
  <c r="D26" i="6"/>
  <c r="E26" i="6"/>
  <c r="F26" i="6"/>
  <c r="B28" i="6"/>
  <c r="C28" i="6"/>
  <c r="D28" i="6"/>
  <c r="E28" i="6"/>
  <c r="F28" i="6"/>
  <c r="B29" i="6"/>
  <c r="C29" i="6"/>
  <c r="D29" i="6"/>
  <c r="E29" i="6"/>
  <c r="F29" i="6"/>
  <c r="G31" i="6"/>
  <c r="G32" i="6" s="1"/>
  <c r="G33" i="6" s="1"/>
  <c r="B14" i="6"/>
  <c r="C14" i="6"/>
  <c r="D14" i="6"/>
  <c r="E14" i="6"/>
  <c r="F14" i="6" s="1"/>
  <c r="B15" i="6"/>
  <c r="C15" i="6"/>
  <c r="D15" i="6"/>
  <c r="E15" i="6"/>
  <c r="B16" i="6"/>
  <c r="B18" i="6" s="1"/>
  <c r="B23" i="6" s="1"/>
  <c r="C16" i="6"/>
  <c r="C18" i="6" s="1"/>
  <c r="C23" i="6" s="1"/>
  <c r="D16" i="6"/>
  <c r="D18" i="6" s="1"/>
  <c r="D23" i="6" s="1"/>
  <c r="E16" i="6"/>
  <c r="E18" i="6" s="1"/>
  <c r="E23" i="6" s="1"/>
  <c r="B17" i="6"/>
  <c r="C17" i="6"/>
  <c r="D17" i="6"/>
  <c r="E17" i="6"/>
  <c r="F17" i="6"/>
  <c r="B19" i="6"/>
  <c r="C19" i="6"/>
  <c r="D19" i="6"/>
  <c r="E19" i="6"/>
  <c r="F19" i="6"/>
  <c r="B20" i="6"/>
  <c r="C20" i="6"/>
  <c r="D20" i="6"/>
  <c r="E20" i="6"/>
  <c r="B21" i="6"/>
  <c r="C21" i="6"/>
  <c r="D21" i="6"/>
  <c r="E21" i="6"/>
  <c r="B5" i="6"/>
  <c r="B6" i="6"/>
  <c r="B8" i="6"/>
  <c r="B9" i="6"/>
  <c r="B9" i="7"/>
  <c r="C29" i="7" s="1"/>
  <c r="B12" i="7"/>
  <c r="B13" i="7"/>
  <c r="B14" i="7"/>
  <c r="B16" i="7" s="1"/>
  <c r="C30" i="7" s="1"/>
  <c r="B19" i="7"/>
  <c r="B23" i="7" s="1"/>
  <c r="B20" i="7"/>
  <c r="B21" i="7" s="1"/>
  <c r="B22" i="7"/>
  <c r="B29" i="7" s="1"/>
  <c r="B4" i="1"/>
  <c r="E9" i="1" s="1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C17" i="4"/>
  <c r="D17" i="4"/>
  <c r="E17" i="4"/>
  <c r="F17" i="4"/>
  <c r="B12" i="3"/>
  <c r="B13" i="3"/>
  <c r="C18" i="4" s="1"/>
  <c r="B14" i="3"/>
  <c r="B17" i="3"/>
  <c r="C17" i="3" s="1"/>
  <c r="B18" i="3"/>
  <c r="B5" i="3"/>
  <c r="B25" i="4" s="1"/>
  <c r="B26" i="4" s="1"/>
  <c r="B6" i="3"/>
  <c r="B7" i="3"/>
  <c r="B8" i="3"/>
  <c r="B5" i="2"/>
  <c r="C55" i="6" l="1" a="1"/>
  <c r="C55" i="6" s="1"/>
  <c r="B55" i="6" a="1"/>
  <c r="B55" i="6" s="1"/>
  <c r="C56" i="6" a="1"/>
  <c r="C56" i="6" s="1"/>
  <c r="F54" i="6" a="1"/>
  <c r="F54" i="6" s="1"/>
  <c r="E57" i="6" a="1"/>
  <c r="E57" i="6" s="1"/>
  <c r="F57" i="6" a="1"/>
  <c r="F57" i="6" s="1"/>
  <c r="E54" i="6" a="1"/>
  <c r="E54" i="6" s="1"/>
  <c r="D57" i="6" a="1"/>
  <c r="D57" i="6" s="1"/>
  <c r="D54" i="6" a="1"/>
  <c r="D54" i="6" s="1"/>
  <c r="C57" i="6" a="1"/>
  <c r="C57" i="6" s="1"/>
  <c r="F55" i="6" a="1"/>
  <c r="F55" i="6" s="1"/>
  <c r="F20" i="6"/>
  <c r="F21" i="6"/>
  <c r="F15" i="6"/>
  <c r="F16" i="6"/>
  <c r="F18" i="6" s="1"/>
  <c r="F23" i="6" s="1"/>
  <c r="D29" i="7"/>
  <c r="B30" i="7"/>
  <c r="D30" i="7" s="1"/>
  <c r="E18" i="1"/>
  <c r="E17" i="1"/>
  <c r="E16" i="1"/>
  <c r="E15" i="1"/>
  <c r="B14" i="2" s="1"/>
  <c r="E14" i="1"/>
  <c r="E13" i="1"/>
  <c r="B17" i="2" s="1"/>
  <c r="E12" i="1"/>
  <c r="E11" i="1"/>
  <c r="E10" i="1"/>
  <c r="B8" i="2" s="1"/>
  <c r="B9" i="2" s="1"/>
  <c r="C5" i="2"/>
  <c r="C13" i="5" s="1"/>
  <c r="B13" i="5"/>
  <c r="C24" i="4"/>
  <c r="B24" i="4"/>
  <c r="B9" i="3"/>
  <c r="C6" i="3"/>
  <c r="C7" i="4" s="1"/>
  <c r="C13" i="3"/>
  <c r="D17" i="3"/>
  <c r="B19" i="3"/>
  <c r="B20" i="3" s="1"/>
  <c r="B22" i="3" s="1"/>
  <c r="D32" i="7" l="1"/>
  <c r="C14" i="2"/>
  <c r="C6" i="4" s="1"/>
  <c r="C8" i="2"/>
  <c r="C9" i="2" s="1"/>
  <c r="C10" i="2" s="1"/>
  <c r="D5" i="2"/>
  <c r="D8" i="2" s="1"/>
  <c r="D12" i="3" s="1"/>
  <c r="C11" i="2"/>
  <c r="C6" i="2"/>
  <c r="C13" i="4"/>
  <c r="C15" i="4" s="1"/>
  <c r="B11" i="2"/>
  <c r="B12" i="2" s="1"/>
  <c r="C17" i="2"/>
  <c r="B16" i="5"/>
  <c r="C12" i="3"/>
  <c r="C9" i="4" s="1"/>
  <c r="D9" i="2"/>
  <c r="D10" i="2" s="1"/>
  <c r="D13" i="5"/>
  <c r="D17" i="2"/>
  <c r="D18" i="4"/>
  <c r="E17" i="3"/>
  <c r="B10" i="2"/>
  <c r="C7" i="3" l="1"/>
  <c r="C8" i="4" s="1"/>
  <c r="C8" i="3"/>
  <c r="D14" i="2" s="1"/>
  <c r="D6" i="4" s="1"/>
  <c r="D7" i="3"/>
  <c r="D8" i="4" s="1"/>
  <c r="E5" i="2"/>
  <c r="D11" i="2"/>
  <c r="D6" i="2"/>
  <c r="D6" i="3"/>
  <c r="D7" i="4" s="1"/>
  <c r="D13" i="4"/>
  <c r="D15" i="4" s="1"/>
  <c r="C14" i="3"/>
  <c r="D12" i="2"/>
  <c r="D13" i="2" s="1"/>
  <c r="D14" i="5" s="1"/>
  <c r="C12" i="2"/>
  <c r="C13" i="2" s="1"/>
  <c r="C14" i="5" s="1"/>
  <c r="D9" i="4"/>
  <c r="D13" i="3"/>
  <c r="F17" i="3"/>
  <c r="B13" i="2"/>
  <c r="B14" i="5" s="1"/>
  <c r="B15" i="2"/>
  <c r="C15" i="2" l="1"/>
  <c r="C18" i="2" s="1"/>
  <c r="E13" i="5"/>
  <c r="F5" i="2"/>
  <c r="E6" i="2"/>
  <c r="E11" i="2"/>
  <c r="E13" i="4"/>
  <c r="E15" i="4" s="1"/>
  <c r="E6" i="3"/>
  <c r="E7" i="4" s="1"/>
  <c r="D15" i="2"/>
  <c r="D16" i="2" s="1"/>
  <c r="E8" i="2"/>
  <c r="D8" i="3"/>
  <c r="E14" i="2" s="1"/>
  <c r="E6" i="4" s="1"/>
  <c r="E7" i="3"/>
  <c r="E8" i="4" s="1"/>
  <c r="E17" i="2"/>
  <c r="D14" i="3"/>
  <c r="E18" i="4"/>
  <c r="C16" i="2"/>
  <c r="B18" i="2"/>
  <c r="B16" i="2"/>
  <c r="E8" i="3" l="1"/>
  <c r="F14" i="2" s="1"/>
  <c r="D18" i="2"/>
  <c r="E9" i="2"/>
  <c r="E12" i="3"/>
  <c r="E9" i="4" s="1"/>
  <c r="F13" i="4"/>
  <c r="F15" i="4" s="1"/>
  <c r="B28" i="5" s="1"/>
  <c r="F6" i="2"/>
  <c r="F8" i="2"/>
  <c r="F6" i="3"/>
  <c r="F7" i="4" s="1"/>
  <c r="F13" i="5"/>
  <c r="F11" i="2"/>
  <c r="A7" i="5"/>
  <c r="F6" i="4"/>
  <c r="E13" i="3"/>
  <c r="D19" i="2"/>
  <c r="D20" i="2" s="1"/>
  <c r="B19" i="2"/>
  <c r="B20" i="2" s="1"/>
  <c r="B21" i="2" s="1"/>
  <c r="C19" i="2"/>
  <c r="C20" i="2" s="1"/>
  <c r="F8" i="3" l="1"/>
  <c r="F9" i="2"/>
  <c r="F12" i="3"/>
  <c r="F9" i="4" s="1"/>
  <c r="F7" i="3"/>
  <c r="F8" i="4" s="1"/>
  <c r="E10" i="2"/>
  <c r="E12" i="2"/>
  <c r="C19" i="4"/>
  <c r="C21" i="4" s="1"/>
  <c r="C5" i="4"/>
  <c r="C11" i="4" s="1"/>
  <c r="C15" i="5" s="1"/>
  <c r="F17" i="2"/>
  <c r="F18" i="4"/>
  <c r="E14" i="3"/>
  <c r="F13" i="3"/>
  <c r="D21" i="2"/>
  <c r="D19" i="4"/>
  <c r="D21" i="4" s="1"/>
  <c r="D5" i="4"/>
  <c r="D11" i="4" s="1"/>
  <c r="D15" i="5" s="1"/>
  <c r="C21" i="2"/>
  <c r="F10" i="2" l="1"/>
  <c r="F12" i="2"/>
  <c r="F14" i="3"/>
  <c r="E13" i="2"/>
  <c r="E14" i="5" s="1"/>
  <c r="E15" i="2"/>
  <c r="C18" i="3"/>
  <c r="D18" i="3" s="1"/>
  <c r="C23" i="4"/>
  <c r="C25" i="4" s="1"/>
  <c r="D23" i="4"/>
  <c r="F15" i="2" l="1"/>
  <c r="F13" i="2"/>
  <c r="F14" i="5" s="1"/>
  <c r="E16" i="2"/>
  <c r="E18" i="2"/>
  <c r="E19" i="2" s="1"/>
  <c r="E20" i="2" s="1"/>
  <c r="C19" i="3"/>
  <c r="C16" i="5" s="1"/>
  <c r="C20" i="3"/>
  <c r="C5" i="3"/>
  <c r="D19" i="3"/>
  <c r="F16" i="2" l="1"/>
  <c r="F18" i="2"/>
  <c r="F19" i="2" s="1"/>
  <c r="F20" i="2" s="1"/>
  <c r="E21" i="2"/>
  <c r="E19" i="4"/>
  <c r="E21" i="4" s="1"/>
  <c r="E5" i="4"/>
  <c r="E11" i="4" s="1"/>
  <c r="D20" i="3"/>
  <c r="D16" i="5"/>
  <c r="D24" i="4"/>
  <c r="D25" i="4" s="1"/>
  <c r="D5" i="3" s="1"/>
  <c r="C9" i="3"/>
  <c r="C22" i="3" s="1"/>
  <c r="C26" i="4"/>
  <c r="E24" i="4"/>
  <c r="D9" i="3"/>
  <c r="D26" i="4"/>
  <c r="F21" i="2" l="1"/>
  <c r="B7" i="5" s="1"/>
  <c r="F19" i="4"/>
  <c r="F21" i="4" s="1"/>
  <c r="B29" i="5" s="1"/>
  <c r="F5" i="4"/>
  <c r="F11" i="4" s="1"/>
  <c r="E18" i="3"/>
  <c r="E15" i="5"/>
  <c r="E23" i="4"/>
  <c r="E25" i="4" s="1"/>
  <c r="E5" i="3" s="1"/>
  <c r="E26" i="4" s="1"/>
  <c r="D22" i="3"/>
  <c r="F15" i="5" l="1"/>
  <c r="B27" i="5"/>
  <c r="F23" i="4"/>
  <c r="B30" i="5" s="1"/>
  <c r="F18" i="3"/>
  <c r="F19" i="3" s="1"/>
  <c r="E19" i="3"/>
  <c r="F24" i="4"/>
  <c r="E9" i="3"/>
  <c r="F20" i="3" l="1"/>
  <c r="F16" i="5"/>
  <c r="E7" i="5"/>
  <c r="F25" i="4"/>
  <c r="F5" i="3" s="1"/>
  <c r="F9" i="3" s="1"/>
  <c r="F22" i="3" s="1"/>
  <c r="E20" i="3"/>
  <c r="E16" i="5"/>
  <c r="C7" i="5"/>
  <c r="E22" i="3"/>
  <c r="F26" i="4" l="1"/>
  <c r="G7" i="5" s="1" a="1"/>
  <c r="G7" i="5" s="1"/>
  <c r="D7" i="5"/>
  <c r="F7" i="5" a="1"/>
  <c r="F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<sst xmlns="http://schemas.openxmlformats.org/spreadsheetml/2006/main" count="272" uniqueCount="209">
  <si>
    <t>Interest Rate</t>
  </si>
  <si>
    <t>Tax Rate</t>
  </si>
  <si>
    <t>COGS</t>
  </si>
  <si>
    <t>Revenue</t>
  </si>
  <si>
    <t>Gross Profit</t>
  </si>
  <si>
    <t>Operating Expenses</t>
  </si>
  <si>
    <t>EBIT</t>
  </si>
  <si>
    <t>Interest Expense</t>
  </si>
  <si>
    <t>Net Income</t>
  </si>
  <si>
    <t>THREE-STATEMENT ANALYSIS MODEL</t>
  </si>
  <si>
    <t>Selected Scenario</t>
  </si>
  <si>
    <t>Base</t>
  </si>
  <si>
    <t>Model Units</t>
  </si>
  <si>
    <t>SCENARIO DRIVERS</t>
  </si>
  <si>
    <t>Driver</t>
  </si>
  <si>
    <t>Optimistic</t>
  </si>
  <si>
    <t>Pessimistic</t>
  </si>
  <si>
    <t>Selected</t>
  </si>
  <si>
    <t>Revenue Growth</t>
  </si>
  <si>
    <t>COGS as % Revenue</t>
  </si>
  <si>
    <t>Operating Expenses as % Revenue</t>
  </si>
  <si>
    <t>CapEx as % Revenue</t>
  </si>
  <si>
    <t>Depreciation as % Opening PP&amp;E</t>
  </si>
  <si>
    <t>AR Days</t>
  </si>
  <si>
    <t>Inventory Days</t>
  </si>
  <si>
    <t>AP Days</t>
  </si>
  <si>
    <t>OPENING BALANCES &amp; FINANCING</t>
  </si>
  <si>
    <t>Opening Revenue</t>
  </si>
  <si>
    <t>Opening Cash</t>
  </si>
  <si>
    <t>Opening Accounts Receivable</t>
  </si>
  <si>
    <t>Opening Inventory</t>
  </si>
  <si>
    <t>Opening PP&amp;E</t>
  </si>
  <si>
    <t>Opening Accounts Payable</t>
  </si>
  <si>
    <t>Opening Debt</t>
  </si>
  <si>
    <t>Opening Share Capital</t>
  </si>
  <si>
    <t>Opening Retained Earnings</t>
  </si>
  <si>
    <t>Annual Debt Issuance</t>
  </si>
  <si>
    <t>Annual Debt Repayment</t>
  </si>
  <si>
    <t>Dividend Payout Ratio</t>
  </si>
  <si>
    <t>INCOME STATEMENT</t>
  </si>
  <si>
    <t>Fiscal Year</t>
  </si>
  <si>
    <t>FY2025A</t>
  </si>
  <si>
    <t>FY2026</t>
  </si>
  <si>
    <t>FY2027</t>
  </si>
  <si>
    <t>FY2028</t>
  </si>
  <si>
    <t>FY2029</t>
  </si>
  <si>
    <t>Gross Margin</t>
  </si>
  <si>
    <t>EBITDA</t>
  </si>
  <si>
    <t>EBITDA Margin</t>
  </si>
  <si>
    <t>Depreciation</t>
  </si>
  <si>
    <t>EBIT Margin</t>
  </si>
  <si>
    <t>Earnings Before Tax</t>
  </si>
  <si>
    <t>Tax Expense</t>
  </si>
  <si>
    <t>Net Margin</t>
  </si>
  <si>
    <t>BALANCE SHEET</t>
  </si>
  <si>
    <t>Cash</t>
  </si>
  <si>
    <t>Accounts Receivable</t>
  </si>
  <si>
    <t>Inventory</t>
  </si>
  <si>
    <t>Net PP&amp;E</t>
  </si>
  <si>
    <t>Total Assets</t>
  </si>
  <si>
    <t>LIABILITIES</t>
  </si>
  <si>
    <t>Accounts Payable</t>
  </si>
  <si>
    <t>Debt</t>
  </si>
  <si>
    <t>Total Liabilities</t>
  </si>
  <si>
    <t>EQUITY</t>
  </si>
  <si>
    <t>Share Capital</t>
  </si>
  <si>
    <t>Retained Earnings</t>
  </si>
  <si>
    <t>Total Equity</t>
  </si>
  <si>
    <t>Total Liabilities &amp; Equity</t>
  </si>
  <si>
    <t>Balance Check</t>
  </si>
  <si>
    <t>CASH FLOW STATEMENT</t>
  </si>
  <si>
    <t>Change in Accounts Receivable</t>
  </si>
  <si>
    <t>Change in Inventory</t>
  </si>
  <si>
    <t>Change in Accounts Payable</t>
  </si>
  <si>
    <t>Cash Flow from Operations</t>
  </si>
  <si>
    <t>Capital Expenditures</t>
  </si>
  <si>
    <t>Cash Flow from Investing</t>
  </si>
  <si>
    <t>Debt Issuance</t>
  </si>
  <si>
    <t>Debt Repayment</t>
  </si>
  <si>
    <t>Dividends</t>
  </si>
  <si>
    <t>Cash Flow from Financing</t>
  </si>
  <si>
    <t>Net Change in Cash</t>
  </si>
  <si>
    <t>Beginning Cash</t>
  </si>
  <si>
    <t>Ending Cash</t>
  </si>
  <si>
    <t>Cash Tie-Out</t>
  </si>
  <si>
    <t>THREE-STATEMENT ANALYSIS DASHBOARD</t>
  </si>
  <si>
    <t>KEY PERFORMANCE INDICATORS</t>
  </si>
  <si>
    <t>Revenue CAGR</t>
  </si>
  <si>
    <t>Return on Equity</t>
  </si>
  <si>
    <t>Return on Assets</t>
  </si>
  <si>
    <t>Debt / Equity</t>
  </si>
  <si>
    <t>Balance Status</t>
  </si>
  <si>
    <t>Cash Status</t>
  </si>
  <si>
    <t>Analysis focuses on formula linkages, scenario switching, ratio analysis and statement reconciliation.</t>
  </si>
  <si>
    <t>Metric</t>
  </si>
  <si>
    <t>Operating Cash Flow</t>
  </si>
  <si>
    <t>SENSITIVITY: REVENUE GROWTH VS EBITDA MARGIN</t>
  </si>
  <si>
    <t>Growth / Margin</t>
  </si>
  <si>
    <t>Cash from Operations</t>
  </si>
  <si>
    <t>Cash from Investing</t>
  </si>
  <si>
    <t>Cash from Financing</t>
  </si>
  <si>
    <t>Illustrative values | Dynamic scenarios | INR crores</t>
  </si>
  <si>
    <t>INR crores</t>
  </si>
  <si>
    <t>INR crores | Illustrative analysis</t>
  </si>
  <si>
    <t>INR crores | Integrated statement</t>
  </si>
  <si>
    <t>INR crores | Indirect method</t>
  </si>
  <si>
    <t>INR crores | Dynamic operating, profitability, liquidity and leverage analysis</t>
  </si>
  <si>
    <t>CHART DATA — INR CRORES</t>
  </si>
  <si>
    <t>Cash Flow Bridge — INR Crores</t>
  </si>
  <si>
    <t>ILLUSTRATIVE WACC ANALYSIS</t>
  </si>
  <si>
    <t>INR crores | Proxy capital structure due to no public ticker</t>
  </si>
  <si>
    <t>COST OF EQUITY</t>
  </si>
  <si>
    <t>Value</t>
  </si>
  <si>
    <t>Source / Rationale</t>
  </si>
  <si>
    <t>Risk-Free Rate</t>
  </si>
  <si>
    <t>Illustrative India long-term risk-free assumption as of 16-Aug-2026</t>
  </si>
  <si>
    <t>Beta</t>
  </si>
  <si>
    <t>Illustrative market beta; replace with company-specific beta</t>
  </si>
  <si>
    <t>Equity Risk Premium</t>
  </si>
  <si>
    <t>Illustrative mature-market-plus-country-risk assumption</t>
  </si>
  <si>
    <t>Cost of Equity</t>
  </si>
  <si>
    <t>CAPM</t>
  </si>
  <si>
    <t>COST OF DEBT</t>
  </si>
  <si>
    <t>Interest Rate Link</t>
  </si>
  <si>
    <t>Selected scenario</t>
  </si>
  <si>
    <t>Pre-Tax Cost of Debt</t>
  </si>
  <si>
    <t>Model financing assumption</t>
  </si>
  <si>
    <t>After-Tax Cost of Debt</t>
  </si>
  <si>
    <t>Pre-tax cost × (1-tax rate)</t>
  </si>
  <si>
    <t>CAPITAL STRUCTURE PROXY</t>
  </si>
  <si>
    <t>Gross Debt</t>
  </si>
  <si>
    <t>FY2029 forecast balance</t>
  </si>
  <si>
    <t>Cash &amp; Equivalents</t>
  </si>
  <si>
    <t>Net Debt / (Net Cash)</t>
  </si>
  <si>
    <t>Debt less cash</t>
  </si>
  <si>
    <t>Equity Value Proxy</t>
  </si>
  <si>
    <t>FY2029 book equity; replace with market capitalization</t>
  </si>
  <si>
    <t>Capital Base Proxy</t>
  </si>
  <si>
    <t>Gross debt plus equity proxy</t>
  </si>
  <si>
    <t>Methodology Note</t>
  </si>
  <si>
    <t>WACC uses gross debt and book equity because market capitalization is unavailable.</t>
  </si>
  <si>
    <t>Portfolio Note</t>
  </si>
  <si>
    <t>Update risk-free rate, beta, ERP and market capitalization for a live-company valuation.</t>
  </si>
  <si>
    <t>WACC CALCULATION</t>
  </si>
  <si>
    <t>Weight</t>
  </si>
  <si>
    <t>Cost</t>
  </si>
  <si>
    <t>Contribution</t>
  </si>
  <si>
    <t>Equity</t>
  </si>
  <si>
    <t>WEIGHTED AVERAGE COST OF CAPITAL</t>
  </si>
  <si>
    <t>ILLUSTRATIVE DCF VALUATION MODEL</t>
  </si>
  <si>
    <t>INR crores | Unlevered FCF | Mid-year convention | Prepared 16-Aug-2026</t>
  </si>
  <si>
    <t>VALUATION CONTROLS</t>
  </si>
  <si>
    <t>Selected Case</t>
  </si>
  <si>
    <t>Linked to model scenario selector</t>
  </si>
  <si>
    <t>WACC</t>
  </si>
  <si>
    <t>Linked from WACC sheet</t>
  </si>
  <si>
    <t>Terminal Growth Rate</t>
  </si>
  <si>
    <t>Illustrative steady-state growth assumption</t>
  </si>
  <si>
    <t>FY2029 forecast debt less cash</t>
  </si>
  <si>
    <t>Share Count Proxy</t>
  </si>
  <si>
    <t>Share capital proxy divided by 100; replace with diluted shares (M)</t>
  </si>
  <si>
    <t>Valuation Basis</t>
  </si>
  <si>
    <t>Enterprise value and equity bridge; per-share output is a proxy until live share data is provided.</t>
  </si>
  <si>
    <t>UNLEVERED FREE CASH FLOW FORECAST</t>
  </si>
  <si>
    <t>FY2026E</t>
  </si>
  <si>
    <t>FY2027E</t>
  </si>
  <si>
    <t>FY2028E</t>
  </si>
  <si>
    <t>FY2029E</t>
  </si>
  <si>
    <t>FY2030E</t>
  </si>
  <si>
    <t>NOPAT</t>
  </si>
  <si>
    <t>Change in NWC</t>
  </si>
  <si>
    <t>Unlevered FCF</t>
  </si>
  <si>
    <t>DISCOUNTING &amp; TERMINAL VALUE</t>
  </si>
  <si>
    <t>Terminal</t>
  </si>
  <si>
    <t>Period</t>
  </si>
  <si>
    <t>Discount Factor</t>
  </si>
  <si>
    <t>PV of FCF</t>
  </si>
  <si>
    <t>Terminal FCF</t>
  </si>
  <si>
    <t>Terminal Value</t>
  </si>
  <si>
    <t>PV Terminal Value</t>
  </si>
  <si>
    <t>VALUATION SUMMARY</t>
  </si>
  <si>
    <t>PV of Explicit FCFs</t>
  </si>
  <si>
    <t>PV of Terminal Value</t>
  </si>
  <si>
    <t>Enterprise Value</t>
  </si>
  <si>
    <t>Less: Net Debt</t>
  </si>
  <si>
    <t>Equity Value</t>
  </si>
  <si>
    <t>Share Count Proxy (M)</t>
  </si>
  <si>
    <t>Implied Value per Share</t>
  </si>
  <si>
    <t>Current Share Price</t>
  </si>
  <si>
    <t>Not available</t>
  </si>
  <si>
    <t>Implied Upside / (Downside)</t>
  </si>
  <si>
    <t>Terminal Value as % of EV</t>
  </si>
  <si>
    <t>Model Integrity</t>
  </si>
  <si>
    <t>SENSITIVITY: WACC VS TERMINAL GROWTH</t>
  </si>
  <si>
    <t>SENSITIVITY: REVENUE GROWTH VS EBIT MARGIN</t>
  </si>
  <si>
    <t>SENSITIVITY: BETA VS RISK-FREE RATE</t>
  </si>
  <si>
    <t>PORTFOLIO INVESTMENT CASE</t>
  </si>
  <si>
    <t>Operating Thesis</t>
  </si>
  <si>
    <t>Base case assumes 8.0% revenue growth, 22.0% EBITDA margin, and steady cash conversion.</t>
  </si>
  <si>
    <t>Catalysts</t>
  </si>
  <si>
    <t>Scenario upside from 12.0% growth, lower COGS, and operating leverage in the optimistic case.</t>
  </si>
  <si>
    <t>Risks</t>
  </si>
  <si>
    <t>Illustrative WACC and terminal assumptions; working capital intensity and capital needs remain key sensitivities.</t>
  </si>
  <si>
    <t>Valuation Read-Through</t>
  </si>
  <si>
    <t>Use the WACC / terminal growth table as the primary valuation range; replace proxy share count before publication.</t>
  </si>
  <si>
    <t>Key Output</t>
  </si>
  <si>
    <t>Implied enterprise value and equity value are formula-driven from the integrated model.</t>
  </si>
  <si>
    <t>Portfolio Status</t>
  </si>
  <si>
    <t>READY WITH DATA CAVEAT: illustrative company, market data and per-share price require replacement before external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</si>
</sst>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;\(#,##0\)"/>
    <numFmt numFmtId="166" formatCode="0.0;[Red]\(0.0\)"/>
    <numFmt numFmtId="167" formatCode="0.00\x"/>
    <numFmt numFmtId="168" formatCode="#,##0;\(#,##0\);\-"/>
    <numFmt numFmtId="169" formatCode="#,##0.0;\(#,##0.0\);\-"/>
    <numFmt numFmtId="170" formatCode="0.0"/>
    <numFmt numFmtId="171" formatCode="#,##0.00;\(#,##0.00\);\-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rgb="FF66666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9" fontId="0" fillId="0" borderId="0" xfId="0" applyNumberFormat="1"/>
    <xf numFmtId="0" fontId="1" fillId="0" borderId="0" xfId="0" applyFont="1"/>
    <xf numFmtId="0" fontId="3" fillId="2" borderId="0" xfId="0" applyFont="1" applyFill="1"/>
    <xf numFmtId="9" fontId="3" fillId="2" borderId="0" xfId="0" applyNumberFormat="1" applyFont="1" applyFill="1"/>
    <xf numFmtId="0" fontId="4" fillId="0" borderId="0" xfId="0" applyFont="1"/>
    <xf numFmtId="9" fontId="4" fillId="0" borderId="0" xfId="0" applyNumberFormat="1" applyFont="1"/>
    <xf numFmtId="0" fontId="5" fillId="2" borderId="0" xfId="0" applyFont="1" applyFill="1"/>
    <xf numFmtId="9" fontId="5" fillId="2" borderId="0" xfId="0" applyNumberFormat="1" applyFont="1" applyFill="1"/>
    <xf numFmtId="0" fontId="1" fillId="3" borderId="1" xfId="0" applyFont="1" applyFill="1" applyBorder="1"/>
    <xf numFmtId="9" fontId="1" fillId="3" borderId="1" xfId="0" applyNumberFormat="1" applyFont="1" applyFill="1" applyBorder="1"/>
    <xf numFmtId="164" fontId="0" fillId="0" borderId="0" xfId="0" applyNumberFormat="1"/>
    <xf numFmtId="1" fontId="0" fillId="0" borderId="0" xfId="0" applyNumberFormat="1"/>
    <xf numFmtId="9" fontId="6" fillId="4" borderId="0" xfId="0" applyNumberFormat="1" applyFont="1" applyFill="1"/>
    <xf numFmtId="164" fontId="7" fillId="0" borderId="0" xfId="0" applyNumberFormat="1" applyFont="1"/>
    <xf numFmtId="1" fontId="7" fillId="0" borderId="0" xfId="0" applyNumberFormat="1" applyFont="1"/>
    <xf numFmtId="164" fontId="8" fillId="3" borderId="0" xfId="0" applyNumberFormat="1" applyFont="1" applyFill="1"/>
    <xf numFmtId="1" fontId="8" fillId="3" borderId="0" xfId="0" applyNumberFormat="1" applyFont="1" applyFill="1"/>
    <xf numFmtId="165" fontId="7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5" fontId="1" fillId="0" borderId="2" xfId="0" applyNumberFormat="1" applyFont="1" applyBorder="1"/>
    <xf numFmtId="165" fontId="1" fillId="5" borderId="2" xfId="0" applyNumberFormat="1" applyFont="1" applyFill="1" applyBorder="1"/>
    <xf numFmtId="166" fontId="1" fillId="5" borderId="2" xfId="0" applyNumberFormat="1" applyFont="1" applyFill="1" applyBorder="1"/>
    <xf numFmtId="166" fontId="1" fillId="0" borderId="0" xfId="0" applyNumberFormat="1" applyFont="1"/>
    <xf numFmtId="0" fontId="9" fillId="2" borderId="0" xfId="0" applyFont="1" applyFill="1"/>
    <xf numFmtId="164" fontId="10" fillId="0" borderId="0" xfId="0" applyNumberFormat="1" applyFont="1"/>
    <xf numFmtId="167" fontId="0" fillId="0" borderId="0" xfId="0" applyNumberFormat="1"/>
    <xf numFmtId="164" fontId="1" fillId="3" borderId="1" xfId="0" applyNumberFormat="1" applyFont="1" applyFill="1" applyBorder="1"/>
    <xf numFmtId="9" fontId="11" fillId="4" borderId="0" xfId="0" applyNumberFormat="1" applyFont="1" applyFill="1"/>
    <xf numFmtId="9" fontId="7" fillId="0" borderId="0" xfId="0" applyNumberFormat="1" applyFont="1"/>
    <xf numFmtId="0" fontId="2" fillId="0" borderId="0" xfId="0" applyFont="1"/>
    <xf numFmtId="0" fontId="12" fillId="2" borderId="0" xfId="0" applyFont="1" applyFill="1"/>
    <xf numFmtId="0" fontId="13" fillId="0" borderId="0" xfId="0" applyFont="1"/>
    <xf numFmtId="9" fontId="13" fillId="0" borderId="0" xfId="0" applyNumberFormat="1" applyFont="1"/>
    <xf numFmtId="164" fontId="14" fillId="0" borderId="0" xfId="0" applyNumberFormat="1" applyFont="1"/>
    <xf numFmtId="164" fontId="15" fillId="4" borderId="0" xfId="0" applyNumberFormat="1" applyFont="1" applyFill="1"/>
    <xf numFmtId="168" fontId="14" fillId="0" borderId="0" xfId="0" applyNumberFormat="1" applyFont="1"/>
    <xf numFmtId="169" fontId="14" fillId="0" borderId="0" xfId="0" applyNumberFormat="1" applyFont="1"/>
    <xf numFmtId="0" fontId="16" fillId="3" borderId="1" xfId="0" applyFont="1" applyFill="1" applyBorder="1"/>
    <xf numFmtId="164" fontId="13" fillId="0" borderId="0" xfId="0" applyNumberFormat="1" applyFont="1"/>
    <xf numFmtId="168" fontId="13" fillId="0" borderId="0" xfId="0" applyNumberFormat="1" applyFont="1"/>
    <xf numFmtId="168" fontId="16" fillId="5" borderId="3" xfId="0" applyNumberFormat="1" applyFont="1" applyFill="1" applyBorder="1"/>
    <xf numFmtId="170" fontId="13" fillId="0" borderId="0" xfId="0" applyNumberFormat="1" applyFont="1"/>
    <xf numFmtId="168" fontId="16" fillId="5" borderId="0" xfId="0" applyNumberFormat="1" applyFont="1" applyFill="1"/>
    <xf numFmtId="0" fontId="16" fillId="5" borderId="2" xfId="0" applyFont="1" applyFill="1" applyBorder="1"/>
    <xf numFmtId="168" fontId="16" fillId="5" borderId="2" xfId="0" applyNumberFormat="1" applyFont="1" applyFill="1" applyBorder="1"/>
    <xf numFmtId="169" fontId="13" fillId="0" borderId="0" xfId="0" applyNumberFormat="1" applyFont="1"/>
    <xf numFmtId="171" fontId="16" fillId="5" borderId="2" xfId="0" applyNumberFormat="1" applyFont="1" applyFill="1" applyBorder="1"/>
    <xf numFmtId="0" fontId="16" fillId="3" borderId="0" xfId="0" applyFont="1" applyFill="1"/>
    <xf numFmtId="164" fontId="16" fillId="3" borderId="0" xfId="0" applyNumberFormat="1" applyFont="1" applyFill="1"/>
    <xf numFmtId="0" fontId="16" fillId="0" borderId="0" xfId="0" applyFont="1"/>
    <xf numFmtId="171" fontId="13" fillId="0" borderId="0" xfId="0" applyNumberFormat="1" applyFont="1" applyAlignment="1">
      <alignment horizontal="center"/>
    </xf>
    <xf numFmtId="171" fontId="16" fillId="5" borderId="3" xfId="0" applyNumberFormat="1" applyFont="1" applyFill="1" applyBorder="1" applyAlignment="1">
      <alignment horizontal="center"/>
    </xf>
    <xf numFmtId="10" fontId="13" fillId="0" borderId="0" xfId="0" applyNumberFormat="1" applyFont="1"/>
    <xf numFmtId="0" fontId="16" fillId="5" borderId="0" xfId="0" applyFont="1" applyFill="1"/>
    <xf numFmtId="164" fontId="15" fillId="0" borderId="0" xfId="0" applyNumberFormat="1" applyFont="1"/>
    <xf numFmtId="167" fontId="15" fillId="0" borderId="0" xfId="0" applyNumberFormat="1" applyFont="1"/>
    <xf numFmtId="164" fontId="16" fillId="0" borderId="0" xfId="0" applyNumberFormat="1" applyFont="1"/>
    <xf numFmtId="168" fontId="16" fillId="0" borderId="0" xfId="0" applyNumberFormat="1" applyFont="1"/>
    <xf numFmtId="0" fontId="17" fillId="0" borderId="0" xfId="0" applyFont="1"/>
    <xf numFmtId="164" fontId="16" fillId="5" borderId="3" xfId="0" applyNumberFormat="1" applyFont="1" applyFill="1" applyBorder="1"/>
  </cellXfs>
  <cellStyles count="1">
    <cellStyle name="Normal" xfId="0" builtinId="0"/>
  </cellStyles>
  <dxfs count="5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(INR Crores)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Dashboard!$A$13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Dashboard!$B$12:$F$12</c:f>
              <c:strCache>
                <c:ptCount val="5"/>
                <c:pt idx="0">
                  <c:v>FY2025A</c:v>
                </c:pt>
                <c:pt idx="1">
                  <c:v>FY2026</c:v>
                </c:pt>
                <c:pt idx="2">
                  <c:v>FY2027</c:v>
                </c:pt>
                <c:pt idx="3">
                  <c:v>FY2028</c:v>
                </c:pt>
                <c:pt idx="4">
                  <c:v>FY2029</c:v>
                </c:pt>
              </c:strCache>
            </c:strRef>
          </c:cat>
          <c:val>
            <c:numRef>
              <c:f>Dashboard!$B$13:$F$13</c:f>
              <c:numCache>
                <c:formatCode>#,##0;\(#,##0\)</c:formatCode>
                <c:ptCount val="5"/>
                <c:pt idx="0">
                  <c:v>1000</c:v>
                </c:pt>
                <c:pt idx="1">
                  <c:v>1080</c:v>
                </c:pt>
                <c:pt idx="2">
                  <c:v>1166.4000000000001</c:v>
                </c:pt>
                <c:pt idx="3">
                  <c:v>1259.7120000000002</c:v>
                </c:pt>
                <c:pt idx="4">
                  <c:v>1360.4889600000004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9-4987-8563-F8FF3683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384928"/>
        <c:axId val="987106800"/>
      </c:lineChart>
      <c:catAx>
        <c:axId val="98538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106800"/>
        <c:crosses val="autoZero"/>
        <c:auto val="1"/>
        <c:lblAlgn val="ctr"/>
        <c:lblOffset val="100"/>
        <c:noMultiLvlLbl val="0"/>
      </c:catAx>
      <c:valAx>
        <c:axId val="9871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Crores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to Equity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6971837457574"/>
          <c:y val="0.15435922388969167"/>
          <c:w val="0.8797109730612428"/>
          <c:h val="0.69416172070618409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Dashboard!$A$16</c:f>
              <c:strCache>
                <c:ptCount val="1"/>
                <c:pt idx="0">
                  <c:v>Debt / Equity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Dashboard!$B$12:$F$12</c:f>
              <c:strCache>
                <c:ptCount val="5"/>
                <c:pt idx="0">
                  <c:v>FY2025A</c:v>
                </c:pt>
                <c:pt idx="1">
                  <c:v>FY2026</c:v>
                </c:pt>
                <c:pt idx="2">
                  <c:v>FY2027</c:v>
                </c:pt>
                <c:pt idx="3">
                  <c:v>FY2028</c:v>
                </c:pt>
                <c:pt idx="4">
                  <c:v>FY2029</c:v>
                </c:pt>
              </c:strCache>
            </c:strRef>
          </c:cat>
          <c:val>
            <c:numRef>
              <c:f>Dashboard!$B$16:$F$16</c:f>
              <c:numCache>
                <c:formatCode>0.00\x</c:formatCode>
                <c:ptCount val="5"/>
                <c:pt idx="0">
                  <c:v>0.5</c:v>
                </c:pt>
                <c:pt idx="1">
                  <c:v>0.4224932069719663</c:v>
                </c:pt>
                <c:pt idx="2">
                  <c:v>0.36271876126520769</c:v>
                </c:pt>
                <c:pt idx="3">
                  <c:v>0.31530746194598258</c:v>
                </c:pt>
                <c:pt idx="4">
                  <c:v>0.2768520595937381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14-4621-B1AD-54E2548C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589840"/>
        <c:axId val="987075120"/>
      </c:barChart>
      <c:catAx>
        <c:axId val="107058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075120"/>
        <c:crosses val="autoZero"/>
        <c:auto val="1"/>
        <c:lblAlgn val="ctr"/>
        <c:lblOffset val="100"/>
        <c:noMultiLvlLbl val="0"/>
      </c:catAx>
      <c:valAx>
        <c:axId val="9870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Debt / Equity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8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407831</xdr:colOff>
      <xdr:row>30</xdr:row>
      <xdr:rowOff>150253</xdr:rowOff>
    </xdr:from>
    <xdr:to>
      <xdr:col>7</xdr:col>
      <xdr:colOff>536619</xdr:colOff>
      <xdr:row>47</xdr:row>
      <xdr:rowOff>42929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AA5CFC6-10FF-4AED-8D9C-974CE74BA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407830</xdr:colOff>
      <xdr:row>48</xdr:row>
      <xdr:rowOff>203916</xdr:rowOff>
    </xdr:from>
    <xdr:to>
      <xdr:col>7</xdr:col>
      <xdr:colOff>568817</xdr:colOff>
      <xdr:row>68</xdr:row>
      <xdr:rowOff>160987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8562985C-5C91-4B27-DA8B-05B753DE9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F1AB0F3-E8AB-4FCA-BE59-978D9397766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Lne-OisijXPUkPupAvV4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2D4EAE5-4B30-410C-9115-3690EB3B248F}">
  <we:reference id="wa200011045" version="1.0.0.0" store="en-US" storeType="OMEX"/>
  <we:alternateReferences>
    <we:reference id="wa200011045" version="1.0.0.0" store="wa200011045" storeType="OMEX"/>
  </we:alternateReferences>
  <we:properties/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9BC3-9C00-4402-B8A1-49E5FE9D039C}">
  <dimension ref="A1:E32"/>
  <sheetViews>
    <sheetView zoomScale="73" zoomScaleNormal="65" workbookViewId="0">
      <selection activeCell="I10" sqref="I10"/>
    </sheetView>
  </sheetViews>
  <sheetFormatPr defaultRowHeight="14.4" x14ac:dyDescent="0.3"/>
  <cols>
    <col min="1" max="1" width="38.88671875" customWidth="1"/>
    <col min="2" max="2" width="9.44140625" bestFit="1" customWidth="1"/>
    <col min="3" max="3" width="10" bestFit="1" customWidth="1"/>
    <col min="4" max="4" width="10.77734375" bestFit="1" customWidth="1"/>
    <col min="5" max="5" width="8.44140625" bestFit="1" customWidth="1"/>
  </cols>
  <sheetData>
    <row r="1" spans="1:5" ht="21" x14ac:dyDescent="0.4">
      <c r="A1" s="3" t="s">
        <v>9</v>
      </c>
      <c r="B1" s="4"/>
      <c r="C1" s="3"/>
      <c r="D1" s="3"/>
      <c r="E1" s="3"/>
    </row>
    <row r="2" spans="1:5" x14ac:dyDescent="0.3">
      <c r="A2" s="5" t="s">
        <v>101</v>
      </c>
      <c r="B2" s="6"/>
      <c r="C2" s="5"/>
      <c r="D2" s="5"/>
      <c r="E2" s="5"/>
    </row>
    <row r="3" spans="1:5" x14ac:dyDescent="0.3">
      <c r="B3" s="1"/>
    </row>
    <row r="4" spans="1:5" x14ac:dyDescent="0.3">
      <c r="A4" s="2" t="s">
        <v>10</v>
      </c>
      <c r="B4" s="29" t="str">
        <f>Dashboard!B3</f>
        <v>Base</v>
      </c>
      <c r="C4" s="2"/>
      <c r="D4" s="2"/>
      <c r="E4" s="2"/>
    </row>
    <row r="5" spans="1:5" x14ac:dyDescent="0.3">
      <c r="A5" t="s">
        <v>12</v>
      </c>
      <c r="B5" s="30" t="s">
        <v>102</v>
      </c>
    </row>
    <row r="6" spans="1:5" x14ac:dyDescent="0.3">
      <c r="B6" s="1"/>
    </row>
    <row r="7" spans="1:5" x14ac:dyDescent="0.3">
      <c r="A7" s="7" t="s">
        <v>13</v>
      </c>
      <c r="B7" s="8"/>
      <c r="C7" s="7"/>
      <c r="D7" s="7"/>
      <c r="E7" s="7"/>
    </row>
    <row r="8" spans="1:5" x14ac:dyDescent="0.3">
      <c r="A8" s="9" t="s">
        <v>14</v>
      </c>
      <c r="B8" s="10" t="s">
        <v>11</v>
      </c>
      <c r="C8" s="9" t="s">
        <v>15</v>
      </c>
      <c r="D8" s="9" t="s">
        <v>16</v>
      </c>
      <c r="E8" s="9" t="s">
        <v>17</v>
      </c>
    </row>
    <row r="9" spans="1:5" x14ac:dyDescent="0.3">
      <c r="A9" s="11" t="s">
        <v>18</v>
      </c>
      <c r="B9" s="14">
        <v>0.08</v>
      </c>
      <c r="C9" s="14">
        <v>0.12</v>
      </c>
      <c r="D9" s="14">
        <v>0.03</v>
      </c>
      <c r="E9" s="16">
        <f t="shared" ref="E9:E18" si="0">INDEX(B9:D9,1,MATCH($B$4,$B$8:$D$8,0))</f>
        <v>0.08</v>
      </c>
    </row>
    <row r="10" spans="1:5" x14ac:dyDescent="0.3">
      <c r="A10" s="11" t="s">
        <v>19</v>
      </c>
      <c r="B10" s="14">
        <v>0.57999999999999996</v>
      </c>
      <c r="C10" s="14">
        <v>0.54</v>
      </c>
      <c r="D10" s="14">
        <v>0.63</v>
      </c>
      <c r="E10" s="16">
        <f t="shared" si="0"/>
        <v>0.57999999999999996</v>
      </c>
    </row>
    <row r="11" spans="1:5" x14ac:dyDescent="0.3">
      <c r="A11" s="11" t="s">
        <v>20</v>
      </c>
      <c r="B11" s="14">
        <v>0.2</v>
      </c>
      <c r="C11" s="14">
        <v>0.18</v>
      </c>
      <c r="D11" s="14">
        <v>0.23</v>
      </c>
      <c r="E11" s="16">
        <f t="shared" si="0"/>
        <v>0.2</v>
      </c>
    </row>
    <row r="12" spans="1:5" x14ac:dyDescent="0.3">
      <c r="A12" s="11" t="s">
        <v>1</v>
      </c>
      <c r="B12" s="14">
        <v>0.25</v>
      </c>
      <c r="C12" s="14">
        <v>0.23</v>
      </c>
      <c r="D12" s="14">
        <v>0.27</v>
      </c>
      <c r="E12" s="16">
        <f t="shared" si="0"/>
        <v>0.25</v>
      </c>
    </row>
    <row r="13" spans="1:5" x14ac:dyDescent="0.3">
      <c r="A13" s="11" t="s">
        <v>0</v>
      </c>
      <c r="B13" s="14">
        <v>0.06</v>
      </c>
      <c r="C13" s="14">
        <v>0.05</v>
      </c>
      <c r="D13" s="14">
        <v>7.4999999999999997E-2</v>
      </c>
      <c r="E13" s="16">
        <f t="shared" si="0"/>
        <v>0.06</v>
      </c>
    </row>
    <row r="14" spans="1:5" x14ac:dyDescent="0.3">
      <c r="A14" s="11" t="s">
        <v>21</v>
      </c>
      <c r="B14" s="14">
        <v>7.0000000000000007E-2</v>
      </c>
      <c r="C14" s="14">
        <v>0.08</v>
      </c>
      <c r="D14" s="14">
        <v>0.05</v>
      </c>
      <c r="E14" s="16">
        <f t="shared" si="0"/>
        <v>7.0000000000000007E-2</v>
      </c>
    </row>
    <row r="15" spans="1:5" x14ac:dyDescent="0.3">
      <c r="A15" s="11" t="s">
        <v>22</v>
      </c>
      <c r="B15" s="14">
        <v>0.1</v>
      </c>
      <c r="C15" s="14">
        <v>0.09</v>
      </c>
      <c r="D15" s="14">
        <v>0.11</v>
      </c>
      <c r="E15" s="16">
        <f t="shared" si="0"/>
        <v>0.1</v>
      </c>
    </row>
    <row r="16" spans="1:5" x14ac:dyDescent="0.3">
      <c r="A16" s="12" t="s">
        <v>23</v>
      </c>
      <c r="B16" s="15">
        <v>42</v>
      </c>
      <c r="C16" s="15">
        <v>38</v>
      </c>
      <c r="D16" s="15">
        <v>50</v>
      </c>
      <c r="E16" s="17">
        <f t="shared" si="0"/>
        <v>42</v>
      </c>
    </row>
    <row r="17" spans="1:5" x14ac:dyDescent="0.3">
      <c r="A17" s="12" t="s">
        <v>24</v>
      </c>
      <c r="B17" s="15">
        <v>55</v>
      </c>
      <c r="C17" s="15">
        <v>48</v>
      </c>
      <c r="D17" s="15">
        <v>65</v>
      </c>
      <c r="E17" s="17">
        <f t="shared" si="0"/>
        <v>55</v>
      </c>
    </row>
    <row r="18" spans="1:5" x14ac:dyDescent="0.3">
      <c r="A18" s="12" t="s">
        <v>25</v>
      </c>
      <c r="B18" s="15">
        <v>40</v>
      </c>
      <c r="C18" s="15">
        <v>45</v>
      </c>
      <c r="D18" s="15">
        <v>35</v>
      </c>
      <c r="E18" s="17">
        <f t="shared" si="0"/>
        <v>40</v>
      </c>
    </row>
    <row r="20" spans="1:5" x14ac:dyDescent="0.3">
      <c r="A20" s="7" t="s">
        <v>26</v>
      </c>
      <c r="B20" s="7"/>
      <c r="C20" s="7"/>
      <c r="D20" s="7"/>
      <c r="E20" s="7"/>
    </row>
    <row r="21" spans="1:5" x14ac:dyDescent="0.3">
      <c r="A21" t="s">
        <v>27</v>
      </c>
      <c r="B21" s="18">
        <v>1000</v>
      </c>
    </row>
    <row r="22" spans="1:5" x14ac:dyDescent="0.3">
      <c r="A22" t="s">
        <v>28</v>
      </c>
      <c r="B22" s="18">
        <v>120</v>
      </c>
    </row>
    <row r="23" spans="1:5" x14ac:dyDescent="0.3">
      <c r="A23" t="s">
        <v>29</v>
      </c>
      <c r="B23" s="18">
        <v>120</v>
      </c>
    </row>
    <row r="24" spans="1:5" x14ac:dyDescent="0.3">
      <c r="A24" t="s">
        <v>30</v>
      </c>
      <c r="B24" s="18">
        <v>100</v>
      </c>
    </row>
    <row r="25" spans="1:5" x14ac:dyDescent="0.3">
      <c r="A25" t="s">
        <v>31</v>
      </c>
      <c r="B25" s="18">
        <v>500</v>
      </c>
    </row>
    <row r="26" spans="1:5" x14ac:dyDescent="0.3">
      <c r="A26" t="s">
        <v>32</v>
      </c>
      <c r="B26" s="18">
        <v>90</v>
      </c>
    </row>
    <row r="27" spans="1:5" x14ac:dyDescent="0.3">
      <c r="A27" t="s">
        <v>33</v>
      </c>
      <c r="B27" s="18">
        <v>250</v>
      </c>
    </row>
    <row r="28" spans="1:5" x14ac:dyDescent="0.3">
      <c r="A28" t="s">
        <v>34</v>
      </c>
      <c r="B28" s="18">
        <v>300</v>
      </c>
    </row>
    <row r="29" spans="1:5" x14ac:dyDescent="0.3">
      <c r="A29" t="s">
        <v>35</v>
      </c>
      <c r="B29" s="18">
        <v>200</v>
      </c>
    </row>
    <row r="30" spans="1:5" x14ac:dyDescent="0.3">
      <c r="A30" t="s">
        <v>36</v>
      </c>
      <c r="B30" s="18">
        <v>20</v>
      </c>
    </row>
    <row r="31" spans="1:5" x14ac:dyDescent="0.3">
      <c r="A31" t="s">
        <v>37</v>
      </c>
      <c r="B31" s="18">
        <v>15</v>
      </c>
    </row>
    <row r="32" spans="1:5" x14ac:dyDescent="0.3">
      <c r="A32" s="11" t="s">
        <v>38</v>
      </c>
      <c r="B32" s="18">
        <v>0.2</v>
      </c>
      <c r="C32" s="11"/>
      <c r="D32" s="11"/>
      <c r="E32" s="11"/>
    </row>
  </sheetData>
  <dataValidations count="1">
    <dataValidation type="list" allowBlank="1" showInputMessage="1" showErrorMessage="1" sqref="B4" xr:uid="{9256AD36-CA85-4C71-9C03-DCA591E58D6B}">
      <formula1>"Base,Optimistic,Pessimistic"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61D6-04AB-4428-B464-8606A9064FEC}">
  <dimension ref="A1:F21"/>
  <sheetViews>
    <sheetView zoomScale="82" workbookViewId="0">
      <selection activeCell="H10" sqref="H10"/>
    </sheetView>
  </sheetViews>
  <sheetFormatPr defaultRowHeight="14.4" x14ac:dyDescent="0.3"/>
  <cols>
    <col min="1" max="1" width="27.109375" bestFit="1" customWidth="1"/>
    <col min="2" max="2" width="8.109375" bestFit="1" customWidth="1"/>
    <col min="3" max="6" width="7" bestFit="1" customWidth="1"/>
  </cols>
  <sheetData>
    <row r="1" spans="1:6" ht="21" x14ac:dyDescent="0.4">
      <c r="A1" s="3" t="s">
        <v>39</v>
      </c>
      <c r="B1" s="3"/>
      <c r="C1" s="3"/>
      <c r="D1" s="3"/>
      <c r="E1" s="3"/>
      <c r="F1" s="3"/>
    </row>
    <row r="2" spans="1:6" x14ac:dyDescent="0.3">
      <c r="A2" s="5" t="s">
        <v>103</v>
      </c>
      <c r="B2" s="5"/>
      <c r="C2" s="5"/>
      <c r="D2" s="5"/>
      <c r="E2" s="5"/>
      <c r="F2" s="5"/>
    </row>
    <row r="4" spans="1:6" x14ac:dyDescent="0.3">
      <c r="A4" s="9" t="s">
        <v>40</v>
      </c>
      <c r="B4" s="9" t="s">
        <v>41</v>
      </c>
      <c r="C4" s="9" t="s">
        <v>42</v>
      </c>
      <c r="D4" s="9" t="s">
        <v>43</v>
      </c>
      <c r="E4" s="9" t="s">
        <v>44</v>
      </c>
      <c r="F4" s="9" t="s">
        <v>45</v>
      </c>
    </row>
    <row r="5" spans="1:6" x14ac:dyDescent="0.3">
      <c r="A5" s="19" t="s">
        <v>3</v>
      </c>
      <c r="B5" s="19">
        <f>Assumptions!$B$21</f>
        <v>1000</v>
      </c>
      <c r="C5" s="19">
        <f>B5*(1+Assumptions!$E$9)</f>
        <v>1080</v>
      </c>
      <c r="D5" s="19">
        <f>C5*(1+Assumptions!$E$9)</f>
        <v>1166.4000000000001</v>
      </c>
      <c r="E5" s="19">
        <f>D5*(1+Assumptions!$E$9)</f>
        <v>1259.7120000000002</v>
      </c>
      <c r="F5" s="19">
        <f>E5*(1+Assumptions!$E$9)</f>
        <v>1360.4889600000004</v>
      </c>
    </row>
    <row r="6" spans="1:6" x14ac:dyDescent="0.3">
      <c r="A6" s="11" t="s">
        <v>18</v>
      </c>
      <c r="B6" s="11"/>
      <c r="C6" s="11">
        <f>C5/B5-1</f>
        <v>8.0000000000000071E-2</v>
      </c>
      <c r="D6" s="11">
        <f>D5/C5-1</f>
        <v>8.0000000000000071E-2</v>
      </c>
      <c r="E6" s="11">
        <f>E5/D5-1</f>
        <v>8.0000000000000071E-2</v>
      </c>
      <c r="F6" s="11">
        <f>F5/E5-1</f>
        <v>8.0000000000000071E-2</v>
      </c>
    </row>
    <row r="8" spans="1:6" x14ac:dyDescent="0.3">
      <c r="A8" s="19" t="s">
        <v>2</v>
      </c>
      <c r="B8" s="19">
        <f>B5*Assumptions!$E$10</f>
        <v>580</v>
      </c>
      <c r="C8" s="19">
        <f>C5*Assumptions!$E$10</f>
        <v>626.4</v>
      </c>
      <c r="D8" s="19">
        <f>D5*Assumptions!$E$10</f>
        <v>676.51200000000006</v>
      </c>
      <c r="E8" s="19">
        <f>E5*Assumptions!$E$10</f>
        <v>730.63296000000003</v>
      </c>
      <c r="F8" s="19">
        <f>F5*Assumptions!$E$10</f>
        <v>789.08359680000012</v>
      </c>
    </row>
    <row r="9" spans="1:6" x14ac:dyDescent="0.3">
      <c r="A9" s="21" t="s">
        <v>4</v>
      </c>
      <c r="B9" s="21">
        <f>B5-B8</f>
        <v>420</v>
      </c>
      <c r="C9" s="21">
        <f>C5-C8</f>
        <v>453.6</v>
      </c>
      <c r="D9" s="21">
        <f>D5-D8</f>
        <v>489.88800000000003</v>
      </c>
      <c r="E9" s="21">
        <f>E5-E8</f>
        <v>529.07904000000019</v>
      </c>
      <c r="F9" s="21">
        <f>F5-F8</f>
        <v>571.40536320000024</v>
      </c>
    </row>
    <row r="10" spans="1:6" x14ac:dyDescent="0.3">
      <c r="A10" s="11" t="s">
        <v>46</v>
      </c>
      <c r="B10" s="11">
        <f>B9/B5</f>
        <v>0.42</v>
      </c>
      <c r="C10" s="11">
        <f>C9/C5</f>
        <v>0.42000000000000004</v>
      </c>
      <c r="D10" s="11">
        <f>D9/D5</f>
        <v>0.42</v>
      </c>
      <c r="E10" s="11">
        <f>E9/E5</f>
        <v>0.4200000000000001</v>
      </c>
      <c r="F10" s="11">
        <f>F9/F5</f>
        <v>0.42000000000000004</v>
      </c>
    </row>
    <row r="11" spans="1:6" x14ac:dyDescent="0.3">
      <c r="A11" s="19" t="s">
        <v>5</v>
      </c>
      <c r="B11" s="19">
        <f>B5*Assumptions!$E$11</f>
        <v>200</v>
      </c>
      <c r="C11" s="19">
        <f>C5*Assumptions!$E$11</f>
        <v>216</v>
      </c>
      <c r="D11" s="19">
        <f>D5*Assumptions!$E$11</f>
        <v>233.28000000000003</v>
      </c>
      <c r="E11" s="19">
        <f>E5*Assumptions!$E$11</f>
        <v>251.94240000000005</v>
      </c>
      <c r="F11" s="19">
        <f>F5*Assumptions!$E$11</f>
        <v>272.09779200000008</v>
      </c>
    </row>
    <row r="12" spans="1:6" x14ac:dyDescent="0.3">
      <c r="A12" s="21" t="s">
        <v>47</v>
      </c>
      <c r="B12" s="21">
        <f>B9-B11</f>
        <v>220</v>
      </c>
      <c r="C12" s="21">
        <f>C9-C11</f>
        <v>237.60000000000002</v>
      </c>
      <c r="D12" s="21">
        <f>D9-D11</f>
        <v>256.608</v>
      </c>
      <c r="E12" s="21">
        <f>E9-E11</f>
        <v>277.13664000000017</v>
      </c>
      <c r="F12" s="21">
        <f>F9-F11</f>
        <v>299.30757120000015</v>
      </c>
    </row>
    <row r="13" spans="1:6" x14ac:dyDescent="0.3">
      <c r="A13" s="11" t="s">
        <v>48</v>
      </c>
      <c r="B13" s="11">
        <f>B12/B5</f>
        <v>0.22</v>
      </c>
      <c r="C13" s="11">
        <f>C12/C5</f>
        <v>0.22000000000000003</v>
      </c>
      <c r="D13" s="11">
        <f>D12/D5</f>
        <v>0.21999999999999997</v>
      </c>
      <c r="E13" s="11">
        <f>E12/E5</f>
        <v>0.22000000000000008</v>
      </c>
      <c r="F13" s="11">
        <f>F12/F5</f>
        <v>0.22000000000000006</v>
      </c>
    </row>
    <row r="14" spans="1:6" x14ac:dyDescent="0.3">
      <c r="A14" s="19" t="s">
        <v>49</v>
      </c>
      <c r="B14" s="19">
        <f>Assumptions!$B$25*Assumptions!$E$15</f>
        <v>50</v>
      </c>
      <c r="C14" s="19">
        <f>'Balance Sheet'!B8*Assumptions!$E$15</f>
        <v>50</v>
      </c>
      <c r="D14" s="19">
        <f>'Balance Sheet'!C8*Assumptions!$E$15</f>
        <v>52.56</v>
      </c>
      <c r="E14" s="19">
        <f>'Balance Sheet'!D8*Assumptions!$E$15</f>
        <v>55.468800000000016</v>
      </c>
      <c r="F14" s="19">
        <f>'Balance Sheet'!E8*Assumptions!$E$15</f>
        <v>58.739904000000017</v>
      </c>
    </row>
    <row r="15" spans="1:6" x14ac:dyDescent="0.3">
      <c r="A15" s="20" t="s">
        <v>6</v>
      </c>
      <c r="B15" s="20">
        <f>B12-B14</f>
        <v>170</v>
      </c>
      <c r="C15" s="20">
        <f>C12-C14</f>
        <v>187.60000000000002</v>
      </c>
      <c r="D15" s="20">
        <f>D12-D14</f>
        <v>204.048</v>
      </c>
      <c r="E15" s="20">
        <f>E12-E14</f>
        <v>221.66784000000015</v>
      </c>
      <c r="F15" s="20">
        <f>F12-F14</f>
        <v>240.56766720000013</v>
      </c>
    </row>
    <row r="16" spans="1:6" x14ac:dyDescent="0.3">
      <c r="A16" s="11" t="s">
        <v>50</v>
      </c>
      <c r="B16" s="11">
        <f>B15/B5</f>
        <v>0.17</v>
      </c>
      <c r="C16" s="11">
        <f>C15/C5</f>
        <v>0.17370370370370372</v>
      </c>
      <c r="D16" s="11">
        <f>D15/D5</f>
        <v>0.17493827160493827</v>
      </c>
      <c r="E16" s="11">
        <f>E15/E5</f>
        <v>0.17596707818930049</v>
      </c>
      <c r="F16" s="11">
        <f>F15/F5</f>
        <v>0.17682441700960225</v>
      </c>
    </row>
    <row r="17" spans="1:6" x14ac:dyDescent="0.3">
      <c r="A17" s="19" t="s">
        <v>7</v>
      </c>
      <c r="B17" s="19">
        <f>Assumptions!$B$27*Assumptions!$E$13</f>
        <v>15</v>
      </c>
      <c r="C17" s="19">
        <f>'Balance Sheet'!B13*Assumptions!$E$13</f>
        <v>15</v>
      </c>
      <c r="D17" s="19">
        <f>'Balance Sheet'!C13*Assumptions!$E$13</f>
        <v>15.299999999999999</v>
      </c>
      <c r="E17" s="19">
        <f>'Balance Sheet'!D13*Assumptions!$E$13</f>
        <v>15.6</v>
      </c>
      <c r="F17" s="19">
        <f>'Balance Sheet'!E13*Assumptions!$E$13</f>
        <v>15.899999999999999</v>
      </c>
    </row>
    <row r="18" spans="1:6" x14ac:dyDescent="0.3">
      <c r="A18" s="19" t="s">
        <v>51</v>
      </c>
      <c r="B18" s="19">
        <f>B15-B17</f>
        <v>155</v>
      </c>
      <c r="C18" s="19">
        <f>C15-C17</f>
        <v>172.60000000000002</v>
      </c>
      <c r="D18" s="19">
        <f>D15-D17</f>
        <v>188.74799999999999</v>
      </c>
      <c r="E18" s="19">
        <f>E15-E17</f>
        <v>206.06784000000016</v>
      </c>
      <c r="F18" s="19">
        <f>F15-F17</f>
        <v>224.66766720000012</v>
      </c>
    </row>
    <row r="19" spans="1:6" x14ac:dyDescent="0.3">
      <c r="A19" s="19" t="s">
        <v>52</v>
      </c>
      <c r="B19" s="19">
        <f>MAX(0,B18*Assumptions!$E$12)</f>
        <v>38.75</v>
      </c>
      <c r="C19" s="19">
        <f>MAX(0,C18*Assumptions!$E$12)</f>
        <v>43.150000000000006</v>
      </c>
      <c r="D19" s="19">
        <f>MAX(0,D18*Assumptions!$E$12)</f>
        <v>47.186999999999998</v>
      </c>
      <c r="E19" s="19">
        <f>MAX(0,E18*Assumptions!$E$12)</f>
        <v>51.51696000000004</v>
      </c>
      <c r="F19" s="19">
        <f>MAX(0,F18*Assumptions!$E$12)</f>
        <v>56.166916800000031</v>
      </c>
    </row>
    <row r="20" spans="1:6" x14ac:dyDescent="0.3">
      <c r="A20" s="22" t="s">
        <v>8</v>
      </c>
      <c r="B20" s="22">
        <f>B18-B19</f>
        <v>116.25</v>
      </c>
      <c r="C20" s="22">
        <f>C18-C19</f>
        <v>129.45000000000002</v>
      </c>
      <c r="D20" s="22">
        <f>D18-D19</f>
        <v>141.56099999999998</v>
      </c>
      <c r="E20" s="22">
        <f>E18-E19</f>
        <v>154.55088000000012</v>
      </c>
      <c r="F20" s="22">
        <f>F18-F19</f>
        <v>168.5007504000001</v>
      </c>
    </row>
    <row r="21" spans="1:6" x14ac:dyDescent="0.3">
      <c r="A21" s="11" t="s">
        <v>53</v>
      </c>
      <c r="B21" s="11">
        <f>B20/B5</f>
        <v>0.11625000000000001</v>
      </c>
      <c r="C21" s="11">
        <f>C20/C5</f>
        <v>0.11986111111111113</v>
      </c>
      <c r="D21" s="11">
        <f>D20/D5</f>
        <v>0.12136574074074072</v>
      </c>
      <c r="E21" s="11">
        <f>E20/E5</f>
        <v>0.1226874714220394</v>
      </c>
      <c r="F21" s="11">
        <f>F20/F5</f>
        <v>0.12385308176260398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2D50-35A3-4395-9321-A01D31FE2BE5}">
  <dimension ref="A1:F22"/>
  <sheetViews>
    <sheetView workbookViewId="0">
      <selection activeCell="J18" sqref="J18"/>
    </sheetView>
  </sheetViews>
  <sheetFormatPr defaultRowHeight="14.4" x14ac:dyDescent="0.3"/>
  <cols>
    <col min="1" max="1" width="28.6640625" bestFit="1" customWidth="1"/>
    <col min="2" max="2" width="8.109375" bestFit="1" customWidth="1"/>
    <col min="3" max="6" width="7" bestFit="1" customWidth="1"/>
  </cols>
  <sheetData>
    <row r="1" spans="1:6" ht="21" x14ac:dyDescent="0.4">
      <c r="A1" s="3" t="s">
        <v>54</v>
      </c>
      <c r="B1" s="3"/>
      <c r="C1" s="3"/>
      <c r="D1" s="3"/>
      <c r="E1" s="3"/>
      <c r="F1" s="3"/>
    </row>
    <row r="2" spans="1:6" x14ac:dyDescent="0.3">
      <c r="A2" s="5" t="s">
        <v>104</v>
      </c>
      <c r="B2" s="5"/>
      <c r="C2" s="5"/>
      <c r="D2" s="5"/>
      <c r="E2" s="5"/>
      <c r="F2" s="5"/>
    </row>
    <row r="4" spans="1:6" x14ac:dyDescent="0.3">
      <c r="A4" s="9" t="s">
        <v>40</v>
      </c>
      <c r="B4" s="9" t="s">
        <v>41</v>
      </c>
      <c r="C4" s="9" t="s">
        <v>42</v>
      </c>
      <c r="D4" s="9" t="s">
        <v>43</v>
      </c>
      <c r="E4" s="9" t="s">
        <v>44</v>
      </c>
      <c r="F4" s="9" t="s">
        <v>45</v>
      </c>
    </row>
    <row r="5" spans="1:6" x14ac:dyDescent="0.3">
      <c r="A5" s="19" t="s">
        <v>55</v>
      </c>
      <c r="B5" s="19">
        <f>Assumptions!$B$22</f>
        <v>120</v>
      </c>
      <c r="C5" s="19">
        <f>'Cash Flow Statement'!C25</f>
        <v>182.94356164383561</v>
      </c>
      <c r="D5" s="19">
        <f>'Cash Flow Statement'!D25</f>
        <v>260.10304657534243</v>
      </c>
      <c r="E5" s="19">
        <f>'Cash Flow Statement'!E25</f>
        <v>343.07129030136991</v>
      </c>
      <c r="F5" s="19">
        <f>'Cash Flow Statement'!F25</f>
        <v>432.37923352547955</v>
      </c>
    </row>
    <row r="6" spans="1:6" x14ac:dyDescent="0.3">
      <c r="A6" s="19" t="s">
        <v>56</v>
      </c>
      <c r="B6" s="19">
        <f>Assumptions!$B$23</f>
        <v>120</v>
      </c>
      <c r="C6" s="19">
        <f>'Income Statement'!C5*Assumptions!$E$16/365</f>
        <v>124.27397260273973</v>
      </c>
      <c r="D6" s="19">
        <f>'Income Statement'!D5*Assumptions!$E$16/365</f>
        <v>134.21589041095891</v>
      </c>
      <c r="E6" s="19">
        <f>'Income Statement'!E5*Assumptions!$E$16/365</f>
        <v>144.95316164383564</v>
      </c>
      <c r="F6" s="19">
        <f>'Income Statement'!F5*Assumptions!$E$16/365</f>
        <v>156.5494145753425</v>
      </c>
    </row>
    <row r="7" spans="1:6" x14ac:dyDescent="0.3">
      <c r="A7" s="19" t="s">
        <v>57</v>
      </c>
      <c r="B7" s="19">
        <f>Assumptions!$B$24</f>
        <v>100</v>
      </c>
      <c r="C7" s="19">
        <f>'Income Statement'!C8*Assumptions!$E$17/365</f>
        <v>94.389041095890406</v>
      </c>
      <c r="D7" s="19">
        <f>'Income Statement'!D8*Assumptions!$E$17/365</f>
        <v>101.94016438356165</v>
      </c>
      <c r="E7" s="19">
        <f>'Income Statement'!E8*Assumptions!$E$17/365</f>
        <v>110.09537753424658</v>
      </c>
      <c r="F7" s="19">
        <f>'Income Statement'!F8*Assumptions!$E$17/365</f>
        <v>118.90300773698631</v>
      </c>
    </row>
    <row r="8" spans="1:6" x14ac:dyDescent="0.3">
      <c r="A8" s="19" t="s">
        <v>58</v>
      </c>
      <c r="B8" s="19">
        <f>Assumptions!$B$25</f>
        <v>500</v>
      </c>
      <c r="C8" s="19">
        <f>B8+'Cash Flow Statement'!C13-'Income Statement'!C14</f>
        <v>525.6</v>
      </c>
      <c r="D8" s="19">
        <f>C8+'Cash Flow Statement'!D13-'Income Statement'!D14</f>
        <v>554.6880000000001</v>
      </c>
      <c r="E8" s="19">
        <f>D8+'Cash Flow Statement'!E13-'Income Statement'!E14</f>
        <v>587.39904000000013</v>
      </c>
      <c r="F8" s="19">
        <f>E8+'Cash Flow Statement'!F13-'Income Statement'!F14</f>
        <v>623.89336320000018</v>
      </c>
    </row>
    <row r="9" spans="1:6" x14ac:dyDescent="0.3">
      <c r="A9" s="22" t="s">
        <v>59</v>
      </c>
      <c r="B9" s="22">
        <f>SUM(B5:B8)</f>
        <v>840</v>
      </c>
      <c r="C9" s="22">
        <f>SUM(C5:C8)</f>
        <v>927.20657534246573</v>
      </c>
      <c r="D9" s="22">
        <f>SUM(D5:D8)</f>
        <v>1050.947101369863</v>
      </c>
      <c r="E9" s="22">
        <f>SUM(E5:E8)</f>
        <v>1185.5188694794524</v>
      </c>
      <c r="F9" s="22">
        <f>SUM(F5:F8)</f>
        <v>1331.7250190378086</v>
      </c>
    </row>
    <row r="11" spans="1:6" x14ac:dyDescent="0.3">
      <c r="A11" s="7" t="s">
        <v>60</v>
      </c>
      <c r="B11" s="7"/>
      <c r="C11" s="7"/>
      <c r="D11" s="7"/>
      <c r="E11" s="7"/>
      <c r="F11" s="7"/>
    </row>
    <row r="12" spans="1:6" x14ac:dyDescent="0.3">
      <c r="A12" s="19" t="s">
        <v>61</v>
      </c>
      <c r="B12" s="19">
        <f>Assumptions!$B$26</f>
        <v>90</v>
      </c>
      <c r="C12" s="19">
        <f>'Income Statement'!C8*Assumptions!$E$18/365</f>
        <v>68.646575342465752</v>
      </c>
      <c r="D12" s="19">
        <f>'Income Statement'!D8*Assumptions!$E$18/365</f>
        <v>74.138301369863029</v>
      </c>
      <c r="E12" s="19">
        <f>'Income Statement'!E8*Assumptions!$E$18/365</f>
        <v>80.06936547945206</v>
      </c>
      <c r="F12" s="19">
        <f>'Income Statement'!F8*Assumptions!$E$18/365</f>
        <v>86.474914717808232</v>
      </c>
    </row>
    <row r="13" spans="1:6" x14ac:dyDescent="0.3">
      <c r="A13" s="19" t="s">
        <v>62</v>
      </c>
      <c r="B13" s="19">
        <f>Assumptions!$B$27</f>
        <v>250</v>
      </c>
      <c r="C13" s="19">
        <f>B13+'Cash Flow Statement'!C17-'Cash Flow Statement'!C18</f>
        <v>255</v>
      </c>
      <c r="D13" s="19">
        <f>C13+'Cash Flow Statement'!D17-'Cash Flow Statement'!D18</f>
        <v>260</v>
      </c>
      <c r="E13" s="19">
        <f>D13+'Cash Flow Statement'!E17-'Cash Flow Statement'!E18</f>
        <v>265</v>
      </c>
      <c r="F13" s="19">
        <f>E13+'Cash Flow Statement'!F17-'Cash Flow Statement'!F18</f>
        <v>270</v>
      </c>
    </row>
    <row r="14" spans="1:6" x14ac:dyDescent="0.3">
      <c r="A14" s="22" t="s">
        <v>63</v>
      </c>
      <c r="B14" s="22">
        <f>SUM(B12:B13)</f>
        <v>340</v>
      </c>
      <c r="C14" s="22">
        <f>SUM(C12:C13)</f>
        <v>323.64657534246578</v>
      </c>
      <c r="D14" s="22">
        <f>SUM(D12:D13)</f>
        <v>334.13830136986303</v>
      </c>
      <c r="E14" s="22">
        <f>SUM(E12:E13)</f>
        <v>345.06936547945207</v>
      </c>
      <c r="F14" s="22">
        <f>SUM(F12:F13)</f>
        <v>356.47491471780825</v>
      </c>
    </row>
    <row r="16" spans="1:6" x14ac:dyDescent="0.3">
      <c r="A16" s="7" t="s">
        <v>64</v>
      </c>
      <c r="B16" s="7"/>
      <c r="C16" s="7"/>
      <c r="D16" s="7"/>
      <c r="E16" s="7"/>
      <c r="F16" s="7"/>
    </row>
    <row r="17" spans="1:6" x14ac:dyDescent="0.3">
      <c r="A17" s="19" t="s">
        <v>65</v>
      </c>
      <c r="B17" s="19">
        <f>Assumptions!$B$28</f>
        <v>300</v>
      </c>
      <c r="C17" s="19">
        <f>B17</f>
        <v>300</v>
      </c>
      <c r="D17" s="19">
        <f>C17</f>
        <v>300</v>
      </c>
      <c r="E17" s="19">
        <f>D17</f>
        <v>300</v>
      </c>
      <c r="F17" s="19">
        <f>E17</f>
        <v>300</v>
      </c>
    </row>
    <row r="18" spans="1:6" x14ac:dyDescent="0.3">
      <c r="A18" s="19" t="s">
        <v>66</v>
      </c>
      <c r="B18" s="19">
        <f>Assumptions!$B$29</f>
        <v>200</v>
      </c>
      <c r="C18" s="19">
        <f>B18+'Income Statement'!C20-'Cash Flow Statement'!C19</f>
        <v>303.56000000000006</v>
      </c>
      <c r="D18" s="19">
        <f>C18+'Income Statement'!D20-'Cash Flow Statement'!D19</f>
        <v>416.80880000000002</v>
      </c>
      <c r="E18" s="19">
        <f>D18+'Income Statement'!E20-'Cash Flow Statement'!E19</f>
        <v>540.44950400000016</v>
      </c>
      <c r="F18" s="19">
        <f>E18+'Income Statement'!F20-'Cash Flow Statement'!F19</f>
        <v>675.25010432000022</v>
      </c>
    </row>
    <row r="19" spans="1:6" x14ac:dyDescent="0.3">
      <c r="A19" s="20" t="s">
        <v>67</v>
      </c>
      <c r="B19" s="20">
        <f>SUM(B17:B18)</f>
        <v>500</v>
      </c>
      <c r="C19" s="20">
        <f>SUM(C17:C18)</f>
        <v>603.56000000000006</v>
      </c>
      <c r="D19" s="20">
        <f>SUM(D17:D18)</f>
        <v>716.80880000000002</v>
      </c>
      <c r="E19" s="20">
        <f>SUM(E17:E18)</f>
        <v>840.44950400000016</v>
      </c>
      <c r="F19" s="20">
        <f>SUM(F17:F18)</f>
        <v>975.25010432000022</v>
      </c>
    </row>
    <row r="20" spans="1:6" x14ac:dyDescent="0.3">
      <c r="A20" s="22" t="s">
        <v>68</v>
      </c>
      <c r="B20" s="22">
        <f>B14+B19</f>
        <v>840</v>
      </c>
      <c r="C20" s="22">
        <f>C14+C19</f>
        <v>927.20657534246584</v>
      </c>
      <c r="D20" s="22">
        <f>D14+D19</f>
        <v>1050.947101369863</v>
      </c>
      <c r="E20" s="22">
        <f>E14+E19</f>
        <v>1185.5188694794522</v>
      </c>
      <c r="F20" s="22">
        <f>F14+F19</f>
        <v>1331.7250190378086</v>
      </c>
    </row>
    <row r="22" spans="1:6" x14ac:dyDescent="0.3">
      <c r="A22" s="23" t="s">
        <v>69</v>
      </c>
      <c r="B22" s="23">
        <f>B9-B20</f>
        <v>0</v>
      </c>
      <c r="C22" s="23">
        <f>C9-C20</f>
        <v>0</v>
      </c>
      <c r="D22" s="23">
        <f>D9-D20</f>
        <v>0</v>
      </c>
      <c r="E22" s="23">
        <f>E9-E20</f>
        <v>0</v>
      </c>
      <c r="F22" s="23">
        <f>F9-F20</f>
        <v>0</v>
      </c>
    </row>
  </sheetData>
  <conditionalFormatting sqref="B22:F22">
    <cfRule type="cellIs" dxfId="4" priority="1" operator="between">
      <formula>-0.1</formula>
      <formula>0.1</formula>
    </cfRule>
    <cfRule type="cellIs" dxfId="3" priority="2" operator="greater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AA8F-1B62-4CA7-9FE7-A7F887E43392}">
  <dimension ref="A1:F26"/>
  <sheetViews>
    <sheetView zoomScale="79" workbookViewId="0">
      <selection activeCell="F26" sqref="F26"/>
    </sheetView>
  </sheetViews>
  <sheetFormatPr defaultRowHeight="14.4" x14ac:dyDescent="0.3"/>
  <cols>
    <col min="1" max="1" width="32" bestFit="1" customWidth="1"/>
    <col min="2" max="2" width="8.109375" bestFit="1" customWidth="1"/>
    <col min="3" max="6" width="7" bestFit="1" customWidth="1"/>
  </cols>
  <sheetData>
    <row r="1" spans="1:6" ht="21" x14ac:dyDescent="0.4">
      <c r="A1" s="3" t="s">
        <v>70</v>
      </c>
      <c r="B1" s="3"/>
      <c r="C1" s="3"/>
      <c r="D1" s="3"/>
      <c r="E1" s="3"/>
      <c r="F1" s="3"/>
    </row>
    <row r="2" spans="1:6" x14ac:dyDescent="0.3">
      <c r="A2" s="5" t="s">
        <v>105</v>
      </c>
      <c r="B2" s="5"/>
      <c r="C2" s="5"/>
      <c r="D2" s="5"/>
      <c r="E2" s="5"/>
      <c r="F2" s="5"/>
    </row>
    <row r="4" spans="1:6" x14ac:dyDescent="0.3">
      <c r="A4" s="9" t="s">
        <v>40</v>
      </c>
      <c r="B4" s="9" t="s">
        <v>41</v>
      </c>
      <c r="C4" s="9" t="s">
        <v>42</v>
      </c>
      <c r="D4" s="9" t="s">
        <v>43</v>
      </c>
      <c r="E4" s="9" t="s">
        <v>44</v>
      </c>
      <c r="F4" s="9" t="s">
        <v>45</v>
      </c>
    </row>
    <row r="5" spans="1:6" x14ac:dyDescent="0.3">
      <c r="A5" s="19" t="s">
        <v>8</v>
      </c>
      <c r="B5" s="19"/>
      <c r="C5" s="19">
        <f>'Income Statement'!C20</f>
        <v>129.45000000000002</v>
      </c>
      <c r="D5" s="19">
        <f>'Income Statement'!D20</f>
        <v>141.56099999999998</v>
      </c>
      <c r="E5" s="19">
        <f>'Income Statement'!E20</f>
        <v>154.55088000000012</v>
      </c>
      <c r="F5" s="19">
        <f>'Income Statement'!F20</f>
        <v>168.5007504000001</v>
      </c>
    </row>
    <row r="6" spans="1:6" x14ac:dyDescent="0.3">
      <c r="A6" s="19" t="s">
        <v>49</v>
      </c>
      <c r="B6" s="19"/>
      <c r="C6" s="19">
        <f>'Income Statement'!C14</f>
        <v>50</v>
      </c>
      <c r="D6" s="19">
        <f>'Income Statement'!D14</f>
        <v>52.56</v>
      </c>
      <c r="E6" s="19">
        <f>'Income Statement'!E14</f>
        <v>55.468800000000016</v>
      </c>
      <c r="F6" s="19">
        <f>'Income Statement'!F14</f>
        <v>58.739904000000017</v>
      </c>
    </row>
    <row r="7" spans="1:6" x14ac:dyDescent="0.3">
      <c r="A7" s="19" t="s">
        <v>71</v>
      </c>
      <c r="B7" s="19"/>
      <c r="C7" s="19">
        <f>-('Balance Sheet'!C6-'Balance Sheet'!B6)</f>
        <v>-4.2739726027397325</v>
      </c>
      <c r="D7" s="19">
        <f>-('Balance Sheet'!D6-'Balance Sheet'!C6)</f>
        <v>-9.9419178082191735</v>
      </c>
      <c r="E7" s="19">
        <f>-('Balance Sheet'!E6-'Balance Sheet'!D6)</f>
        <v>-10.737271232876736</v>
      </c>
      <c r="F7" s="19">
        <f>-('Balance Sheet'!F6-'Balance Sheet'!E6)</f>
        <v>-11.596252931506854</v>
      </c>
    </row>
    <row r="8" spans="1:6" x14ac:dyDescent="0.3">
      <c r="A8" s="19" t="s">
        <v>72</v>
      </c>
      <c r="B8" s="19"/>
      <c r="C8" s="19">
        <f>-('Balance Sheet'!C7-'Balance Sheet'!B7)</f>
        <v>5.6109589041095944</v>
      </c>
      <c r="D8" s="19">
        <f>-('Balance Sheet'!D7-'Balance Sheet'!C7)</f>
        <v>-7.5511232876712455</v>
      </c>
      <c r="E8" s="19">
        <f>-('Balance Sheet'!E7-'Balance Sheet'!D7)</f>
        <v>-8.1552131506849292</v>
      </c>
      <c r="F8" s="19">
        <f>-('Balance Sheet'!F7-'Balance Sheet'!E7)</f>
        <v>-8.8076302027397304</v>
      </c>
    </row>
    <row r="9" spans="1:6" x14ac:dyDescent="0.3">
      <c r="A9" s="19" t="s">
        <v>73</v>
      </c>
      <c r="B9" s="19"/>
      <c r="C9" s="19">
        <f>'Balance Sheet'!C12-'Balance Sheet'!B12</f>
        <v>-21.353424657534248</v>
      </c>
      <c r="D9" s="19">
        <f>'Balance Sheet'!D12-'Balance Sheet'!C12</f>
        <v>5.4917260273972772</v>
      </c>
      <c r="E9" s="19">
        <f>'Balance Sheet'!E12-'Balance Sheet'!D12</f>
        <v>5.9310641095890304</v>
      </c>
      <c r="F9" s="19">
        <f>'Balance Sheet'!F12-'Balance Sheet'!E12</f>
        <v>6.4055492383561727</v>
      </c>
    </row>
    <row r="11" spans="1:6" x14ac:dyDescent="0.3">
      <c r="A11" s="22" t="s">
        <v>74</v>
      </c>
      <c r="B11" s="22"/>
      <c r="C11" s="22">
        <f>SUM(C5:C9)</f>
        <v>159.43356164383562</v>
      </c>
      <c r="D11" s="22">
        <f>SUM(D5:D9)</f>
        <v>182.11968493150684</v>
      </c>
      <c r="E11" s="22">
        <f>SUM(E5:E9)</f>
        <v>197.05825972602753</v>
      </c>
      <c r="F11" s="22">
        <f>SUM(F5:F9)</f>
        <v>213.24232050410973</v>
      </c>
    </row>
    <row r="13" spans="1:6" x14ac:dyDescent="0.3">
      <c r="A13" s="19" t="s">
        <v>75</v>
      </c>
      <c r="B13" s="19"/>
      <c r="C13" s="19">
        <f>'Income Statement'!C5*Assumptions!$E$14</f>
        <v>75.600000000000009</v>
      </c>
      <c r="D13" s="19">
        <f>'Income Statement'!D5*Assumptions!$E$14</f>
        <v>81.64800000000001</v>
      </c>
      <c r="E13" s="19">
        <f>'Income Statement'!E5*Assumptions!$E$14</f>
        <v>88.179840000000027</v>
      </c>
      <c r="F13" s="19">
        <f>'Income Statement'!F5*Assumptions!$E$14</f>
        <v>95.234227200000035</v>
      </c>
    </row>
    <row r="15" spans="1:6" x14ac:dyDescent="0.3">
      <c r="A15" s="22" t="s">
        <v>76</v>
      </c>
      <c r="B15" s="22"/>
      <c r="C15" s="22">
        <f>-C13</f>
        <v>-75.600000000000009</v>
      </c>
      <c r="D15" s="22">
        <f>-D13</f>
        <v>-81.64800000000001</v>
      </c>
      <c r="E15" s="22">
        <f>-E13</f>
        <v>-88.179840000000027</v>
      </c>
      <c r="F15" s="22">
        <f>-F13</f>
        <v>-95.234227200000035</v>
      </c>
    </row>
    <row r="17" spans="1:6" x14ac:dyDescent="0.3">
      <c r="A17" s="19" t="s">
        <v>77</v>
      </c>
      <c r="B17" s="19"/>
      <c r="C17" s="19">
        <f>Assumptions!$B$30</f>
        <v>20</v>
      </c>
      <c r="D17" s="19">
        <f>Assumptions!$B$30</f>
        <v>20</v>
      </c>
      <c r="E17" s="19">
        <f>Assumptions!$B$30</f>
        <v>20</v>
      </c>
      <c r="F17" s="19">
        <f>Assumptions!$B$30</f>
        <v>20</v>
      </c>
    </row>
    <row r="18" spans="1:6" x14ac:dyDescent="0.3">
      <c r="A18" s="19" t="s">
        <v>78</v>
      </c>
      <c r="B18" s="19"/>
      <c r="C18" s="19">
        <f>MIN(Assumptions!$B$31,'Balance Sheet'!B13+C17)</f>
        <v>15</v>
      </c>
      <c r="D18" s="19">
        <f>MIN(Assumptions!$B$31,'Balance Sheet'!C13+D17)</f>
        <v>15</v>
      </c>
      <c r="E18" s="19">
        <f>MIN(Assumptions!$B$31,'Balance Sheet'!D13+E17)</f>
        <v>15</v>
      </c>
      <c r="F18" s="19">
        <f>MIN(Assumptions!$B$31,'Balance Sheet'!E13+F17)</f>
        <v>15</v>
      </c>
    </row>
    <row r="19" spans="1:6" x14ac:dyDescent="0.3">
      <c r="A19" s="19" t="s">
        <v>79</v>
      </c>
      <c r="B19" s="19"/>
      <c r="C19" s="19">
        <f>MAX(0,'Income Statement'!C20*Assumptions!$B$32)</f>
        <v>25.890000000000004</v>
      </c>
      <c r="D19" s="19">
        <f>MAX(0,'Income Statement'!D20*Assumptions!$B$32)</f>
        <v>28.312199999999997</v>
      </c>
      <c r="E19" s="19">
        <f>MAX(0,'Income Statement'!E20*Assumptions!$B$32)</f>
        <v>30.910176000000025</v>
      </c>
      <c r="F19" s="19">
        <f>MAX(0,'Income Statement'!F20*Assumptions!$B$32)</f>
        <v>33.700150080000022</v>
      </c>
    </row>
    <row r="21" spans="1:6" x14ac:dyDescent="0.3">
      <c r="A21" s="22" t="s">
        <v>80</v>
      </c>
      <c r="B21" s="22"/>
      <c r="C21" s="22">
        <f>C17-C18-C19</f>
        <v>-20.890000000000004</v>
      </c>
      <c r="D21" s="22">
        <f>D17-D18-D19</f>
        <v>-23.312199999999997</v>
      </c>
      <c r="E21" s="22">
        <f>E17-E18-E19</f>
        <v>-25.910176000000025</v>
      </c>
      <c r="F21" s="22">
        <f>F17-F18-F19</f>
        <v>-28.700150080000022</v>
      </c>
    </row>
    <row r="23" spans="1:6" x14ac:dyDescent="0.3">
      <c r="A23" s="20" t="s">
        <v>81</v>
      </c>
      <c r="B23" s="20"/>
      <c r="C23" s="20">
        <f>C11+C15+C21</f>
        <v>62.943561643835608</v>
      </c>
      <c r="D23" s="20">
        <f>D11+D15+D21</f>
        <v>77.159484931506825</v>
      </c>
      <c r="E23" s="20">
        <f>E11+E15+E21</f>
        <v>82.968243726027481</v>
      </c>
      <c r="F23" s="20">
        <f>F11+F15+F21</f>
        <v>89.307943224109664</v>
      </c>
    </row>
    <row r="24" spans="1:6" x14ac:dyDescent="0.3">
      <c r="A24" s="19" t="s">
        <v>82</v>
      </c>
      <c r="B24" s="19">
        <f>'Balance Sheet'!B5</f>
        <v>120</v>
      </c>
      <c r="C24" s="19">
        <f>'Balance Sheet'!B5</f>
        <v>120</v>
      </c>
      <c r="D24" s="19">
        <f>'Balance Sheet'!C5</f>
        <v>182.94356164383561</v>
      </c>
      <c r="E24" s="19">
        <f>'Balance Sheet'!D5</f>
        <v>260.10304657534243</v>
      </c>
      <c r="F24" s="19">
        <f>'Balance Sheet'!E5</f>
        <v>343.07129030136991</v>
      </c>
    </row>
    <row r="25" spans="1:6" x14ac:dyDescent="0.3">
      <c r="A25" s="22" t="s">
        <v>83</v>
      </c>
      <c r="B25" s="22">
        <f>'Balance Sheet'!B5</f>
        <v>120</v>
      </c>
      <c r="C25" s="22">
        <f>C24+C23</f>
        <v>182.94356164383561</v>
      </c>
      <c r="D25" s="22">
        <f>D24+D23</f>
        <v>260.10304657534243</v>
      </c>
      <c r="E25" s="22">
        <f>E24+E23</f>
        <v>343.07129030136991</v>
      </c>
      <c r="F25" s="22">
        <f>F24+F23</f>
        <v>432.37923352547955</v>
      </c>
    </row>
    <row r="26" spans="1:6" x14ac:dyDescent="0.3">
      <c r="A26" s="24" t="s">
        <v>84</v>
      </c>
      <c r="B26" s="24">
        <f>B25-'Balance Sheet'!B5</f>
        <v>0</v>
      </c>
      <c r="C26" s="24">
        <f>C25-'Balance Sheet'!C5</f>
        <v>0</v>
      </c>
      <c r="D26" s="24">
        <f>D25-'Balance Sheet'!D5</f>
        <v>0</v>
      </c>
      <c r="E26" s="24">
        <f>E25-'Balance Sheet'!E5</f>
        <v>0</v>
      </c>
      <c r="F26" s="24">
        <f>F25-'Balance Sheet'!F5</f>
        <v>0</v>
      </c>
    </row>
  </sheetData>
  <conditionalFormatting sqref="B26:F26">
    <cfRule type="cellIs" dxfId="2" priority="1" operator="between">
      <formula>-0.1</formula>
      <formula>0.1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A365-1221-447F-972B-9A8653D38471}">
  <dimension ref="A1:L60"/>
  <sheetViews>
    <sheetView zoomScale="78" zoomScaleNormal="71" workbookViewId="0">
      <selection activeCell="L13" sqref="L13"/>
    </sheetView>
  </sheetViews>
  <sheetFormatPr defaultRowHeight="14.4" x14ac:dyDescent="0.3"/>
  <cols>
    <col min="1" max="1" width="31.44140625" customWidth="1"/>
    <col min="2" max="2" width="13.33203125" customWidth="1"/>
    <col min="3" max="3" width="15.33203125" bestFit="1" customWidth="1"/>
    <col min="4" max="4" width="16.109375" bestFit="1" customWidth="1"/>
    <col min="5" max="5" width="12.109375" customWidth="1"/>
    <col min="6" max="6" width="14.44140625" bestFit="1" customWidth="1"/>
    <col min="7" max="7" width="11.77734375" bestFit="1" customWidth="1"/>
    <col min="8" max="8" width="16.33203125" customWidth="1"/>
    <col min="9" max="9" width="3.33203125" customWidth="1"/>
    <col min="10" max="10" width="27.77734375" customWidth="1"/>
    <col min="11" max="12" width="15.77734375" customWidth="1"/>
  </cols>
  <sheetData>
    <row r="1" spans="1:12" ht="23.4" x14ac:dyDescent="0.45">
      <c r="A1" s="25" t="s">
        <v>85</v>
      </c>
      <c r="B1" s="25"/>
      <c r="C1" s="25"/>
      <c r="D1" s="25"/>
      <c r="E1" s="25"/>
      <c r="F1" s="25"/>
      <c r="G1" s="25"/>
      <c r="H1" s="25"/>
    </row>
    <row r="2" spans="1:12" x14ac:dyDescent="0.3">
      <c r="A2" s="5" t="s">
        <v>106</v>
      </c>
      <c r="B2" s="5"/>
      <c r="C2" s="5"/>
      <c r="D2" s="5"/>
      <c r="E2" s="5"/>
      <c r="F2" s="5"/>
      <c r="G2" s="5"/>
      <c r="H2" s="5"/>
    </row>
    <row r="3" spans="1:12" x14ac:dyDescent="0.3">
      <c r="A3" s="2" t="s">
        <v>10</v>
      </c>
      <c r="B3" s="13" t="s">
        <v>11</v>
      </c>
      <c r="C3" s="2"/>
      <c r="D3" s="2"/>
      <c r="E3" s="2"/>
      <c r="F3" s="2"/>
      <c r="G3" s="2"/>
      <c r="H3" s="2"/>
    </row>
    <row r="5" spans="1:12" x14ac:dyDescent="0.3">
      <c r="A5" s="7" t="s">
        <v>86</v>
      </c>
      <c r="B5" s="7"/>
      <c r="C5" s="7"/>
      <c r="D5" s="7"/>
      <c r="E5" s="7"/>
      <c r="F5" s="7"/>
      <c r="G5" s="7"/>
      <c r="H5" s="7"/>
    </row>
    <row r="6" spans="1:12" x14ac:dyDescent="0.3">
      <c r="A6" s="9" t="s">
        <v>87</v>
      </c>
      <c r="B6" s="9" t="s">
        <v>53</v>
      </c>
      <c r="C6" s="9" t="s">
        <v>88</v>
      </c>
      <c r="D6" s="9" t="s">
        <v>89</v>
      </c>
      <c r="E6" s="9" t="s">
        <v>90</v>
      </c>
      <c r="F6" s="9" t="s">
        <v>91</v>
      </c>
      <c r="G6" s="9" t="s">
        <v>92</v>
      </c>
      <c r="H6" s="9"/>
    </row>
    <row r="7" spans="1:12" ht="15.6" x14ac:dyDescent="0.3">
      <c r="A7" s="26">
        <f>('Income Statement'!F5/'Income Statement'!B5)^(1/4)-1</f>
        <v>8.0000000000000071E-2</v>
      </c>
      <c r="B7" s="26">
        <f>'Income Statement'!F21</f>
        <v>0.12385308176260398</v>
      </c>
      <c r="C7" s="26">
        <f>'Income Statement'!F20/AVERAGE('Balance Sheet'!E19:F19)</f>
        <v>0.18560421517731956</v>
      </c>
      <c r="D7" s="26">
        <f>'Income Statement'!F20/AVERAGE('Balance Sheet'!E9:F9)</f>
        <v>0.13387717508711686</v>
      </c>
      <c r="E7" s="26">
        <f>'Balance Sheet'!F13/'Balance Sheet'!F19</f>
        <v>0.2768520595937381</v>
      </c>
      <c r="F7" s="26" t="str" cm="1">
        <f t="array" ref="F7">IF(MAX(ABS('Balance Sheet'!B22:F22))&lt;0.1,"PASS","REVIEW")</f>
        <v>PASS</v>
      </c>
      <c r="G7" s="26" t="str" cm="1">
        <f t="array" ref="G7">IF(MAX(ABS('Cash Flow Statement'!B26:F26))&lt;0.1,"PASS","REVIEW")</f>
        <v>PASS</v>
      </c>
      <c r="H7" s="26"/>
    </row>
    <row r="9" spans="1:12" x14ac:dyDescent="0.3">
      <c r="A9" s="5" t="s">
        <v>93</v>
      </c>
      <c r="B9" s="5"/>
      <c r="C9" s="5"/>
      <c r="D9" s="5"/>
      <c r="E9" s="5"/>
      <c r="F9" s="5"/>
      <c r="G9" s="5"/>
      <c r="H9" s="5"/>
    </row>
    <row r="11" spans="1:12" x14ac:dyDescent="0.3">
      <c r="A11" s="7" t="s">
        <v>107</v>
      </c>
      <c r="B11" s="7"/>
      <c r="C11" s="7"/>
      <c r="D11" s="7"/>
      <c r="E11" s="7"/>
      <c r="F11" s="7"/>
      <c r="G11" s="7"/>
      <c r="H11" s="7"/>
    </row>
    <row r="12" spans="1:12" x14ac:dyDescent="0.3">
      <c r="A12" s="9" t="s">
        <v>94</v>
      </c>
      <c r="B12" s="9" t="s">
        <v>41</v>
      </c>
      <c r="C12" s="9" t="s">
        <v>42</v>
      </c>
      <c r="D12" s="9" t="s">
        <v>43</v>
      </c>
      <c r="E12" s="9" t="s">
        <v>44</v>
      </c>
      <c r="F12" s="9" t="s">
        <v>45</v>
      </c>
      <c r="G12" s="9"/>
      <c r="H12" s="9"/>
      <c r="L12" s="31" t="s">
        <v>86</v>
      </c>
    </row>
    <row r="13" spans="1:12" x14ac:dyDescent="0.3">
      <c r="A13" s="19" t="s">
        <v>3</v>
      </c>
      <c r="B13" s="19">
        <f>'Income Statement'!B5</f>
        <v>1000</v>
      </c>
      <c r="C13" s="19">
        <f>'Income Statement'!C5</f>
        <v>1080</v>
      </c>
      <c r="D13" s="19">
        <f>'Income Statement'!D5</f>
        <v>1166.4000000000001</v>
      </c>
      <c r="E13" s="19">
        <f>'Income Statement'!E5</f>
        <v>1259.7120000000002</v>
      </c>
      <c r="F13" s="19">
        <f>'Income Statement'!F5</f>
        <v>1360.4889600000004</v>
      </c>
      <c r="G13" s="19"/>
      <c r="H13" s="19"/>
    </row>
    <row r="14" spans="1:12" x14ac:dyDescent="0.3">
      <c r="A14" s="11" t="s">
        <v>48</v>
      </c>
      <c r="B14" s="11">
        <f>'Income Statement'!B13</f>
        <v>0.22</v>
      </c>
      <c r="C14" s="11">
        <f>'Income Statement'!C13</f>
        <v>0.22000000000000003</v>
      </c>
      <c r="D14" s="11">
        <f>'Income Statement'!D13</f>
        <v>0.21999999999999997</v>
      </c>
      <c r="E14" s="11">
        <f>'Income Statement'!E13</f>
        <v>0.22000000000000008</v>
      </c>
      <c r="F14" s="11">
        <f>'Income Statement'!F13</f>
        <v>0.22000000000000006</v>
      </c>
      <c r="G14" s="11"/>
      <c r="H14" s="11"/>
    </row>
    <row r="15" spans="1:12" x14ac:dyDescent="0.3">
      <c r="A15" s="19" t="s">
        <v>95</v>
      </c>
      <c r="B15" s="19"/>
      <c r="C15" s="19">
        <f>'Cash Flow Statement'!C11</f>
        <v>159.43356164383562</v>
      </c>
      <c r="D15" s="19">
        <f>'Cash Flow Statement'!D11</f>
        <v>182.11968493150684</v>
      </c>
      <c r="E15" s="19">
        <f>'Cash Flow Statement'!E11</f>
        <v>197.05825972602753</v>
      </c>
      <c r="F15" s="19">
        <f>'Cash Flow Statement'!F11</f>
        <v>213.24232050410973</v>
      </c>
      <c r="G15" s="19"/>
      <c r="H15" s="19"/>
    </row>
    <row r="16" spans="1:12" x14ac:dyDescent="0.3">
      <c r="A16" s="27" t="s">
        <v>90</v>
      </c>
      <c r="B16" s="27">
        <f>'Balance Sheet'!B13/'Balance Sheet'!B19</f>
        <v>0.5</v>
      </c>
      <c r="C16" s="27">
        <f>'Balance Sheet'!C13/'Balance Sheet'!C19</f>
        <v>0.4224932069719663</v>
      </c>
      <c r="D16" s="27">
        <f>'Balance Sheet'!D13/'Balance Sheet'!D19</f>
        <v>0.36271876126520769</v>
      </c>
      <c r="E16" s="27">
        <f>'Balance Sheet'!E13/'Balance Sheet'!E19</f>
        <v>0.31530746194598258</v>
      </c>
      <c r="F16" s="27">
        <f>'Balance Sheet'!F13/'Balance Sheet'!F19</f>
        <v>0.2768520595937381</v>
      </c>
      <c r="G16" s="27"/>
      <c r="H16" s="27"/>
    </row>
    <row r="18" spans="1:8" x14ac:dyDescent="0.3">
      <c r="A18" s="7" t="s">
        <v>96</v>
      </c>
      <c r="B18" s="7"/>
      <c r="C18" s="7"/>
      <c r="D18" s="7"/>
      <c r="E18" s="7"/>
      <c r="F18" s="7"/>
      <c r="G18" s="7"/>
      <c r="H18" s="7"/>
    </row>
    <row r="19" spans="1:8" x14ac:dyDescent="0.3">
      <c r="A19" s="28" t="s">
        <v>97</v>
      </c>
      <c r="B19" s="28">
        <v>0.34</v>
      </c>
      <c r="C19" s="28">
        <v>0.38</v>
      </c>
      <c r="D19" s="28">
        <v>0.42</v>
      </c>
      <c r="E19" s="28">
        <v>0.46</v>
      </c>
      <c r="F19" s="28">
        <v>0.5</v>
      </c>
      <c r="G19" s="28"/>
      <c r="H19" s="28"/>
    </row>
    <row r="20" spans="1:8" x14ac:dyDescent="0.3">
      <c r="A20" s="11">
        <v>0</v>
      </c>
      <c r="B20" s="11">
        <f>$B$19+$A20</f>
        <v>0.34</v>
      </c>
      <c r="C20" s="11">
        <f>$C$19+$A20</f>
        <v>0.38</v>
      </c>
      <c r="D20" s="11">
        <f>$D$19+$A20</f>
        <v>0.42</v>
      </c>
      <c r="E20" s="11">
        <f>$E$19+$A20</f>
        <v>0.46</v>
      </c>
      <c r="F20" s="11">
        <f>$F$19+$A20</f>
        <v>0.5</v>
      </c>
      <c r="G20" s="11"/>
      <c r="H20" s="11"/>
    </row>
    <row r="21" spans="1:8" x14ac:dyDescent="0.3">
      <c r="A21" s="11">
        <v>0.03</v>
      </c>
      <c r="B21" s="11">
        <f>$B$19+$A21</f>
        <v>0.37</v>
      </c>
      <c r="C21" s="11">
        <f>$C$19+$A21</f>
        <v>0.41000000000000003</v>
      </c>
      <c r="D21" s="11">
        <f>$D$19+$A21</f>
        <v>0.44999999999999996</v>
      </c>
      <c r="E21" s="11">
        <f>$E$19+$A21</f>
        <v>0.49</v>
      </c>
      <c r="F21" s="11">
        <f>$F$19+$A21</f>
        <v>0.53</v>
      </c>
      <c r="G21" s="11"/>
      <c r="H21" s="11"/>
    </row>
    <row r="22" spans="1:8" x14ac:dyDescent="0.3">
      <c r="A22" s="11">
        <v>0.06</v>
      </c>
      <c r="B22" s="11">
        <f>$B$19+$A22</f>
        <v>0.4</v>
      </c>
      <c r="C22" s="11">
        <f>$C$19+$A22</f>
        <v>0.44</v>
      </c>
      <c r="D22" s="11">
        <f>$D$19+$A22</f>
        <v>0.48</v>
      </c>
      <c r="E22" s="11">
        <f>$E$19+$A22</f>
        <v>0.52</v>
      </c>
      <c r="F22" s="11">
        <f>$F$19+$A22</f>
        <v>0.56000000000000005</v>
      </c>
      <c r="G22" s="11"/>
      <c r="H22" s="11"/>
    </row>
    <row r="23" spans="1:8" x14ac:dyDescent="0.3">
      <c r="A23" s="11">
        <v>0.09</v>
      </c>
      <c r="B23" s="11">
        <f>$B$19+$A23</f>
        <v>0.43000000000000005</v>
      </c>
      <c r="C23" s="11">
        <f>$C$19+$A23</f>
        <v>0.47</v>
      </c>
      <c r="D23" s="11">
        <f>$D$19+$A23</f>
        <v>0.51</v>
      </c>
      <c r="E23" s="11">
        <f>$E$19+$A23</f>
        <v>0.55000000000000004</v>
      </c>
      <c r="F23" s="11">
        <f>$F$19+$A23</f>
        <v>0.59</v>
      </c>
      <c r="G23" s="11"/>
      <c r="H23" s="11"/>
    </row>
    <row r="24" spans="1:8" x14ac:dyDescent="0.3">
      <c r="A24" s="11">
        <v>0.12</v>
      </c>
      <c r="B24" s="11">
        <f>$B$19+$A24</f>
        <v>0.46</v>
      </c>
      <c r="C24" s="11">
        <f>$C$19+$A24</f>
        <v>0.5</v>
      </c>
      <c r="D24" s="11">
        <f>$D$19+$A24</f>
        <v>0.54</v>
      </c>
      <c r="E24" s="11">
        <f>$E$19+$A24</f>
        <v>0.58000000000000007</v>
      </c>
      <c r="F24" s="11">
        <f>$F$19+$A24</f>
        <v>0.62</v>
      </c>
      <c r="G24" s="11"/>
      <c r="H24" s="11"/>
    </row>
    <row r="26" spans="1:8" x14ac:dyDescent="0.3">
      <c r="A26" s="9" t="s">
        <v>108</v>
      </c>
      <c r="B26" s="9" t="s">
        <v>45</v>
      </c>
    </row>
    <row r="27" spans="1:8" x14ac:dyDescent="0.3">
      <c r="A27" s="19" t="s">
        <v>98</v>
      </c>
      <c r="B27" s="19">
        <f>'Cash Flow Statement'!F11</f>
        <v>213.24232050410973</v>
      </c>
    </row>
    <row r="28" spans="1:8" x14ac:dyDescent="0.3">
      <c r="A28" s="19" t="s">
        <v>99</v>
      </c>
      <c r="B28" s="19">
        <f>'Cash Flow Statement'!F15</f>
        <v>-95.234227200000035</v>
      </c>
    </row>
    <row r="29" spans="1:8" x14ac:dyDescent="0.3">
      <c r="A29" s="19" t="s">
        <v>100</v>
      </c>
      <c r="B29" s="19">
        <f>'Cash Flow Statement'!F21</f>
        <v>-28.700150080000022</v>
      </c>
    </row>
    <row r="30" spans="1:8" x14ac:dyDescent="0.3">
      <c r="A30" s="21" t="s">
        <v>81</v>
      </c>
      <c r="B30" s="21">
        <f>'Cash Flow Statement'!F23</f>
        <v>89.307943224109664</v>
      </c>
    </row>
    <row r="32" spans="1:8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</sheetData>
  <conditionalFormatting sqref="F7:G7">
    <cfRule type="containsText" dxfId="1" priority="1" operator="containsText" text="PASS">
      <formula>NOT(ISERROR(SEARCH("PASS",F7)))</formula>
    </cfRule>
    <cfRule type="containsText" dxfId="0" priority="2" operator="containsText" text="REVIEW">
      <formula>NOT(ISERROR(SEARCH("REVIEW",F7)))</formula>
    </cfRule>
  </conditionalFormatting>
  <dataValidations count="1">
    <dataValidation type="list" allowBlank="1" showInputMessage="1" showErrorMessage="1" sqref="B3" xr:uid="{2957065D-7D9C-4BC9-9593-36D97032890E}">
      <formula1>"Base,Optimistic,Pessimistic"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1BFB-A631-40BC-A08B-BB50A29F33E4}">
  <dimension ref="A1:G88"/>
  <sheetViews>
    <sheetView tabSelected="1" topLeftCell="A43" zoomScale="76" workbookViewId="0">
      <pane ySplit="1" topLeftCell="A44" activePane="bottomLeft" state="frozen"/>
      <selection activeCell="A43" sqref="A43"/>
      <selection pane="bottomLeft"/>
    </sheetView>
  </sheetViews>
  <sheetFormatPr defaultRowHeight="14.4" x14ac:dyDescent="0.3"/>
  <cols>
    <col min="1" max="1" width="38" customWidth="1"/>
    <col min="2" max="7" width="17" customWidth="1"/>
  </cols>
  <sheetData>
    <row r="1" spans="1:7" x14ac:dyDescent="0.3">
      <c r="A1" s="32" t="s">
        <v>149</v>
      </c>
      <c r="B1" s="32"/>
      <c r="C1" s="32"/>
      <c r="D1" s="32"/>
      <c r="E1" s="32"/>
      <c r="F1" s="32"/>
      <c r="G1" s="32"/>
    </row>
    <row r="2" spans="1:7" x14ac:dyDescent="0.3">
      <c r="A2" s="33" t="s">
        <v>150</v>
      </c>
      <c r="B2" s="33"/>
      <c r="C2" s="33"/>
      <c r="D2" s="33"/>
      <c r="E2" s="33"/>
      <c r="F2" s="33"/>
      <c r="G2" s="33"/>
    </row>
    <row r="3" spans="1:7" x14ac:dyDescent="0.3">
      <c r="A3" s="33"/>
      <c r="B3" s="33"/>
      <c r="C3" s="33"/>
      <c r="D3" s="33"/>
      <c r="E3" s="33"/>
      <c r="F3" s="33"/>
      <c r="G3" s="33"/>
    </row>
    <row r="4" spans="1:7" x14ac:dyDescent="0.3">
      <c r="A4" s="32" t="s">
        <v>151</v>
      </c>
      <c r="B4" s="32" t="s">
        <v>112</v>
      </c>
      <c r="C4" s="32" t="s">
        <v>113</v>
      </c>
      <c r="D4" s="32"/>
      <c r="E4" s="32"/>
      <c r="F4" s="32"/>
      <c r="G4" s="32"/>
    </row>
    <row r="5" spans="1:7" x14ac:dyDescent="0.3">
      <c r="A5" s="33" t="s">
        <v>152</v>
      </c>
      <c r="B5" s="34" t="str">
        <f>Assumptions!B4</f>
        <v>Base</v>
      </c>
      <c r="C5" s="33" t="s">
        <v>153</v>
      </c>
      <c r="D5" s="33"/>
      <c r="E5" s="33"/>
      <c r="F5" s="33"/>
      <c r="G5" s="33"/>
    </row>
    <row r="6" spans="1:7" x14ac:dyDescent="0.3">
      <c r="A6" s="35" t="s">
        <v>154</v>
      </c>
      <c r="B6" s="35">
        <f>WACC!D32</f>
        <v>0.10765408697813744</v>
      </c>
      <c r="C6" s="35" t="s">
        <v>155</v>
      </c>
      <c r="D6" s="35"/>
      <c r="E6" s="35"/>
      <c r="F6" s="35"/>
      <c r="G6" s="35"/>
    </row>
    <row r="7" spans="1:7" x14ac:dyDescent="0.3">
      <c r="A7" s="36" t="s">
        <v>156</v>
      </c>
      <c r="B7" s="36">
        <v>0.03</v>
      </c>
      <c r="C7" s="36" t="s">
        <v>157</v>
      </c>
      <c r="D7" s="36"/>
      <c r="E7" s="36"/>
      <c r="F7" s="36"/>
      <c r="G7" s="36"/>
    </row>
    <row r="8" spans="1:7" x14ac:dyDescent="0.3">
      <c r="A8" s="37" t="s">
        <v>133</v>
      </c>
      <c r="B8" s="37">
        <f>WACC!B21</f>
        <v>-162.37923352547955</v>
      </c>
      <c r="C8" s="37" t="s">
        <v>158</v>
      </c>
      <c r="D8" s="37"/>
      <c r="E8" s="37"/>
      <c r="F8" s="37"/>
      <c r="G8" s="37"/>
    </row>
    <row r="9" spans="1:7" x14ac:dyDescent="0.3">
      <c r="A9" s="38" t="s">
        <v>159</v>
      </c>
      <c r="B9" s="38">
        <f>Assumptions!B28/100</f>
        <v>3</v>
      </c>
      <c r="C9" s="38" t="s">
        <v>160</v>
      </c>
      <c r="D9" s="38"/>
      <c r="E9" s="38"/>
      <c r="F9" s="38"/>
      <c r="G9" s="38"/>
    </row>
    <row r="10" spans="1:7" x14ac:dyDescent="0.3">
      <c r="A10" s="33" t="s">
        <v>161</v>
      </c>
      <c r="B10" s="33" t="s">
        <v>162</v>
      </c>
      <c r="C10" s="33"/>
      <c r="D10" s="33"/>
      <c r="E10" s="33"/>
      <c r="F10" s="33"/>
      <c r="G10" s="33"/>
    </row>
    <row r="11" spans="1:7" x14ac:dyDescent="0.3">
      <c r="A11" s="33"/>
      <c r="B11" s="33"/>
      <c r="C11" s="33"/>
      <c r="D11" s="33"/>
      <c r="E11" s="33"/>
      <c r="F11" s="33"/>
      <c r="G11" s="33"/>
    </row>
    <row r="12" spans="1:7" x14ac:dyDescent="0.3">
      <c r="A12" s="32" t="s">
        <v>163</v>
      </c>
      <c r="B12" s="32" t="s">
        <v>164</v>
      </c>
      <c r="C12" s="32" t="s">
        <v>165</v>
      </c>
      <c r="D12" s="32" t="s">
        <v>166</v>
      </c>
      <c r="E12" s="32" t="s">
        <v>167</v>
      </c>
      <c r="F12" s="32" t="s">
        <v>168</v>
      </c>
      <c r="G12" s="32"/>
    </row>
    <row r="13" spans="1:7" x14ac:dyDescent="0.3">
      <c r="A13" s="39" t="s">
        <v>40</v>
      </c>
      <c r="B13" s="39" t="s">
        <v>164</v>
      </c>
      <c r="C13" s="39" t="s">
        <v>165</v>
      </c>
      <c r="D13" s="39" t="s">
        <v>166</v>
      </c>
      <c r="E13" s="39" t="s">
        <v>167</v>
      </c>
      <c r="F13" s="39" t="s">
        <v>168</v>
      </c>
      <c r="G13" s="39"/>
    </row>
    <row r="14" spans="1:7" x14ac:dyDescent="0.3">
      <c r="A14" s="37" t="s">
        <v>3</v>
      </c>
      <c r="B14" s="37">
        <f>'Income Statement'!C5</f>
        <v>1080</v>
      </c>
      <c r="C14" s="37">
        <f>'Income Statement'!D5</f>
        <v>1166.4000000000001</v>
      </c>
      <c r="D14" s="37">
        <f>'Income Statement'!E5</f>
        <v>1259.7120000000002</v>
      </c>
      <c r="E14" s="37">
        <f>'Income Statement'!F5</f>
        <v>1360.4889600000004</v>
      </c>
      <c r="F14" s="37">
        <f>E14*(1+Assumptions!$E$9)</f>
        <v>1469.3280768000004</v>
      </c>
      <c r="G14" s="37"/>
    </row>
    <row r="15" spans="1:7" x14ac:dyDescent="0.3">
      <c r="A15" s="40" t="s">
        <v>18</v>
      </c>
      <c r="B15" s="40">
        <f>B14/'Income Statement'!B5-1</f>
        <v>8.0000000000000071E-2</v>
      </c>
      <c r="C15" s="40">
        <f>C14/B14-1</f>
        <v>8.0000000000000071E-2</v>
      </c>
      <c r="D15" s="40">
        <f>D14/C14-1</f>
        <v>8.0000000000000071E-2</v>
      </c>
      <c r="E15" s="40">
        <f>E14/D14-1</f>
        <v>8.0000000000000071E-2</v>
      </c>
      <c r="F15" s="40">
        <f>F14/E14-1</f>
        <v>8.0000000000000071E-2</v>
      </c>
      <c r="G15" s="40"/>
    </row>
    <row r="16" spans="1:7" x14ac:dyDescent="0.3">
      <c r="A16" s="37" t="s">
        <v>6</v>
      </c>
      <c r="B16" s="37">
        <f>'Income Statement'!C15</f>
        <v>187.60000000000002</v>
      </c>
      <c r="C16" s="37">
        <f>'Income Statement'!D15</f>
        <v>204.048</v>
      </c>
      <c r="D16" s="37">
        <f>'Income Statement'!E15</f>
        <v>221.66784000000015</v>
      </c>
      <c r="E16" s="37">
        <f>'Income Statement'!F15</f>
        <v>240.56766720000013</v>
      </c>
      <c r="F16" s="37">
        <f>F14*(1-Assumptions!$E$10-Assumptions!$E$11)-F19</f>
        <v>259.81308057600012</v>
      </c>
      <c r="G16" s="37"/>
    </row>
    <row r="17" spans="1:7" x14ac:dyDescent="0.3">
      <c r="A17" s="35" t="s">
        <v>1</v>
      </c>
      <c r="B17" s="35">
        <f>Assumptions!$E$12</f>
        <v>0.25</v>
      </c>
      <c r="C17" s="35">
        <f>Assumptions!$E$12</f>
        <v>0.25</v>
      </c>
      <c r="D17" s="35">
        <f>Assumptions!$E$12</f>
        <v>0.25</v>
      </c>
      <c r="E17" s="35">
        <f>Assumptions!$E$12</f>
        <v>0.25</v>
      </c>
      <c r="F17" s="35">
        <f>Assumptions!$E$12</f>
        <v>0.25</v>
      </c>
      <c r="G17" s="35"/>
    </row>
    <row r="18" spans="1:7" x14ac:dyDescent="0.3">
      <c r="A18" s="41" t="s">
        <v>169</v>
      </c>
      <c r="B18" s="41">
        <f>B16*(1-B17)</f>
        <v>140.70000000000002</v>
      </c>
      <c r="C18" s="41">
        <f>C16*(1-C17)</f>
        <v>153.036</v>
      </c>
      <c r="D18" s="41">
        <f>D16*(1-D17)</f>
        <v>166.25088000000011</v>
      </c>
      <c r="E18" s="41">
        <f>E16*(1-E17)</f>
        <v>180.42575040000008</v>
      </c>
      <c r="F18" s="41">
        <f>F16*(1-F17)</f>
        <v>194.85981043200007</v>
      </c>
      <c r="G18" s="41"/>
    </row>
    <row r="19" spans="1:7" x14ac:dyDescent="0.3">
      <c r="A19" s="37" t="s">
        <v>49</v>
      </c>
      <c r="B19" s="37">
        <f>'Income Statement'!C14</f>
        <v>50</v>
      </c>
      <c r="C19" s="37">
        <f>'Income Statement'!D14</f>
        <v>52.56</v>
      </c>
      <c r="D19" s="37">
        <f>'Income Statement'!E14</f>
        <v>55.468800000000016</v>
      </c>
      <c r="E19" s="37">
        <f>'Income Statement'!F14</f>
        <v>58.739904000000017</v>
      </c>
      <c r="F19" s="37">
        <f>E19*(1+Assumptions!$E$9)</f>
        <v>63.439096320000026</v>
      </c>
      <c r="G19" s="37"/>
    </row>
    <row r="20" spans="1:7" x14ac:dyDescent="0.3">
      <c r="A20" s="37" t="s">
        <v>75</v>
      </c>
      <c r="B20" s="37">
        <f>'Cash Flow Statement'!C13</f>
        <v>75.600000000000009</v>
      </c>
      <c r="C20" s="37">
        <f>'Cash Flow Statement'!D13</f>
        <v>81.64800000000001</v>
      </c>
      <c r="D20" s="37">
        <f>'Cash Flow Statement'!E13</f>
        <v>88.179840000000027</v>
      </c>
      <c r="E20" s="37">
        <f>'Cash Flow Statement'!F13</f>
        <v>95.234227200000035</v>
      </c>
      <c r="F20" s="37">
        <f>F14*Assumptions!$E$14</f>
        <v>102.85296537600004</v>
      </c>
      <c r="G20" s="37"/>
    </row>
    <row r="21" spans="1:7" x14ac:dyDescent="0.3">
      <c r="A21" s="37" t="s">
        <v>170</v>
      </c>
      <c r="B21" s="37">
        <f>(('Balance Sheet'!C6+'Balance Sheet'!C7-'Balance Sheet'!C12)-('Balance Sheet'!B6+'Balance Sheet'!B7-'Balance Sheet'!B12))</f>
        <v>20.0164383561644</v>
      </c>
      <c r="C21" s="37">
        <f>(('Balance Sheet'!D6+'Balance Sheet'!D7-'Balance Sheet'!D12)-('Balance Sheet'!C6+'Balance Sheet'!C7-'Balance Sheet'!C12))</f>
        <v>12.001315068493142</v>
      </c>
      <c r="D21" s="37">
        <f>(('Balance Sheet'!E6+'Balance Sheet'!E7-'Balance Sheet'!E12)-('Balance Sheet'!D6+'Balance Sheet'!D7-'Balance Sheet'!D12))</f>
        <v>12.961420273972635</v>
      </c>
      <c r="E21" s="37">
        <f>(('Balance Sheet'!F6+'Balance Sheet'!F7-'Balance Sheet'!F12)-('Balance Sheet'!E6+'Balance Sheet'!E7-'Balance Sheet'!E12))</f>
        <v>13.998333895890369</v>
      </c>
      <c r="F21" s="37">
        <f>(F14*Assumptions!$E$16/365+F14*Assumptions!$E$10*Assumptions!$E$17/365-F14*Assumptions!$E$10*Assumptions!$E$18/365)-('Balance Sheet'!F6+'Balance Sheet'!F7-'Balance Sheet'!F12)</f>
        <v>15.118200607561675</v>
      </c>
      <c r="G21" s="37"/>
    </row>
    <row r="22" spans="1:7" x14ac:dyDescent="0.3">
      <c r="A22" s="33"/>
      <c r="B22" s="33"/>
      <c r="C22" s="33"/>
      <c r="D22" s="33"/>
      <c r="E22" s="33"/>
      <c r="F22" s="33"/>
      <c r="G22" s="33"/>
    </row>
    <row r="23" spans="1:7" x14ac:dyDescent="0.3">
      <c r="A23" s="42" t="s">
        <v>171</v>
      </c>
      <c r="B23" s="42">
        <f>B18+B19-B20-B21</f>
        <v>95.083561643835608</v>
      </c>
      <c r="C23" s="42">
        <f>C18+C19-C20-C21</f>
        <v>111.94668493150685</v>
      </c>
      <c r="D23" s="42">
        <f>D18+D19-D20-D21</f>
        <v>120.57841972602745</v>
      </c>
      <c r="E23" s="42">
        <f>E18+E19-E20-E21</f>
        <v>129.93309330410972</v>
      </c>
      <c r="F23" s="42">
        <f>F18+F19-F20-F21</f>
        <v>140.32774076843839</v>
      </c>
      <c r="G23" s="42"/>
    </row>
    <row r="24" spans="1:7" x14ac:dyDescent="0.3">
      <c r="A24" s="33"/>
      <c r="B24" s="33"/>
      <c r="C24" s="33"/>
      <c r="D24" s="33"/>
      <c r="E24" s="33"/>
      <c r="F24" s="33"/>
      <c r="G24" s="33"/>
    </row>
    <row r="25" spans="1:7" x14ac:dyDescent="0.3">
      <c r="A25" s="32" t="s">
        <v>172</v>
      </c>
      <c r="B25" s="32" t="s">
        <v>164</v>
      </c>
      <c r="C25" s="32" t="s">
        <v>165</v>
      </c>
      <c r="D25" s="32" t="s">
        <v>166</v>
      </c>
      <c r="E25" s="32" t="s">
        <v>167</v>
      </c>
      <c r="F25" s="32" t="s">
        <v>168</v>
      </c>
      <c r="G25" s="32" t="s">
        <v>173</v>
      </c>
    </row>
    <row r="26" spans="1:7" x14ac:dyDescent="0.3">
      <c r="A26" s="33" t="s">
        <v>171</v>
      </c>
      <c r="B26" s="41">
        <f>B23</f>
        <v>95.083561643835608</v>
      </c>
      <c r="C26" s="41">
        <f>C23</f>
        <v>111.94668493150685</v>
      </c>
      <c r="D26" s="41">
        <f>D23</f>
        <v>120.57841972602745</v>
      </c>
      <c r="E26" s="41">
        <f>E23</f>
        <v>129.93309330410972</v>
      </c>
      <c r="F26" s="41">
        <f>F23</f>
        <v>140.32774076843839</v>
      </c>
      <c r="G26" s="33"/>
    </row>
    <row r="27" spans="1:7" x14ac:dyDescent="0.3">
      <c r="A27" s="43" t="s">
        <v>174</v>
      </c>
      <c r="B27" s="43">
        <v>0.5</v>
      </c>
      <c r="C27" s="43">
        <v>1.5</v>
      </c>
      <c r="D27" s="43">
        <v>2.5</v>
      </c>
      <c r="E27" s="43">
        <v>3.5</v>
      </c>
      <c r="F27" s="43">
        <v>4.5</v>
      </c>
      <c r="G27" s="43"/>
    </row>
    <row r="28" spans="1:7" x14ac:dyDescent="0.3">
      <c r="A28" s="40" t="s">
        <v>175</v>
      </c>
      <c r="B28" s="40">
        <f>1/(1+$B$6)^B27</f>
        <v>0.95016258031434142</v>
      </c>
      <c r="C28" s="40">
        <f>1/(1+$B$6)^C27</f>
        <v>0.85781526153759913</v>
      </c>
      <c r="D28" s="40">
        <f>1/(1+$B$6)^D27</f>
        <v>0.77444327757401243</v>
      </c>
      <c r="E28" s="40">
        <f>1/(1+$B$6)^E27</f>
        <v>0.69917430602077324</v>
      </c>
      <c r="F28" s="40">
        <f>1/(1+$B$6)^F27</f>
        <v>0.63122080642363321</v>
      </c>
      <c r="G28" s="40"/>
    </row>
    <row r="29" spans="1:7" x14ac:dyDescent="0.3">
      <c r="A29" s="41" t="s">
        <v>176</v>
      </c>
      <c r="B29" s="41">
        <f>B26*B28</f>
        <v>90.344842276984579</v>
      </c>
      <c r="C29" s="41">
        <f>C26*C28</f>
        <v>96.029574812787757</v>
      </c>
      <c r="D29" s="41">
        <f>D26*D28</f>
        <v>93.381146577319655</v>
      </c>
      <c r="E29" s="41">
        <f>E26*E28</f>
        <v>90.84588034003329</v>
      </c>
      <c r="F29" s="41">
        <f>F26*F28</f>
        <v>88.577789691460225</v>
      </c>
      <c r="G29" s="41"/>
    </row>
    <row r="30" spans="1:7" x14ac:dyDescent="0.3">
      <c r="A30" s="33"/>
      <c r="B30" s="33"/>
      <c r="C30" s="33"/>
      <c r="D30" s="33"/>
      <c r="E30" s="33"/>
      <c r="F30" s="33"/>
      <c r="G30" s="33"/>
    </row>
    <row r="31" spans="1:7" x14ac:dyDescent="0.3">
      <c r="A31" s="41" t="s">
        <v>177</v>
      </c>
      <c r="B31" s="41"/>
      <c r="C31" s="41"/>
      <c r="D31" s="41"/>
      <c r="E31" s="41"/>
      <c r="F31" s="41"/>
      <c r="G31" s="41">
        <f>F23*(1+$B$7)</f>
        <v>144.53757299149154</v>
      </c>
    </row>
    <row r="32" spans="1:7" x14ac:dyDescent="0.3">
      <c r="A32" s="41" t="s">
        <v>178</v>
      </c>
      <c r="B32" s="41"/>
      <c r="C32" s="41"/>
      <c r="D32" s="41"/>
      <c r="E32" s="41"/>
      <c r="F32" s="41"/>
      <c r="G32" s="41">
        <f>G31/($B$6-$B$7)</f>
        <v>1861.3002691305137</v>
      </c>
    </row>
    <row r="33" spans="1:7" x14ac:dyDescent="0.3">
      <c r="A33" s="44" t="s">
        <v>179</v>
      </c>
      <c r="B33" s="44"/>
      <c r="C33" s="44"/>
      <c r="D33" s="44"/>
      <c r="E33" s="44"/>
      <c r="F33" s="44"/>
      <c r="G33" s="44">
        <f>G32*F28</f>
        <v>1174.8914568770883</v>
      </c>
    </row>
    <row r="34" spans="1:7" x14ac:dyDescent="0.3">
      <c r="A34" s="33"/>
      <c r="B34" s="33"/>
      <c r="C34" s="33"/>
      <c r="D34" s="33"/>
      <c r="E34" s="33"/>
      <c r="F34" s="33"/>
      <c r="G34" s="33"/>
    </row>
    <row r="35" spans="1:7" x14ac:dyDescent="0.3">
      <c r="A35" s="33"/>
      <c r="B35" s="33"/>
      <c r="C35" s="33"/>
      <c r="D35" s="33"/>
      <c r="E35" s="33"/>
      <c r="F35" s="33"/>
      <c r="G35" s="33"/>
    </row>
    <row r="36" spans="1:7" x14ac:dyDescent="0.3">
      <c r="A36" s="32" t="s">
        <v>180</v>
      </c>
      <c r="B36" s="32" t="s">
        <v>112</v>
      </c>
      <c r="C36" s="32"/>
      <c r="D36" s="32"/>
      <c r="E36" s="32"/>
      <c r="F36" s="32"/>
      <c r="G36" s="32"/>
    </row>
    <row r="37" spans="1:7" x14ac:dyDescent="0.3">
      <c r="A37" s="33" t="s">
        <v>181</v>
      </c>
      <c r="B37" s="41">
        <f>SUM(B29:F29)</f>
        <v>459.17923369858556</v>
      </c>
      <c r="C37" s="33"/>
      <c r="D37" s="33"/>
      <c r="E37" s="33"/>
      <c r="F37" s="33"/>
      <c r="G37" s="33"/>
    </row>
    <row r="38" spans="1:7" x14ac:dyDescent="0.3">
      <c r="A38" s="33" t="s">
        <v>182</v>
      </c>
      <c r="B38" s="41">
        <f>G33</f>
        <v>1174.8914568770883</v>
      </c>
      <c r="C38" s="33"/>
      <c r="D38" s="33"/>
      <c r="E38" s="33"/>
      <c r="F38" s="33"/>
      <c r="G38" s="33"/>
    </row>
    <row r="39" spans="1:7" x14ac:dyDescent="0.3">
      <c r="A39" s="45" t="s">
        <v>183</v>
      </c>
      <c r="B39" s="46">
        <f>B37+B38</f>
        <v>1634.0706905756738</v>
      </c>
      <c r="C39" s="45"/>
      <c r="D39" s="45"/>
      <c r="E39" s="45"/>
      <c r="F39" s="45"/>
      <c r="G39" s="45"/>
    </row>
    <row r="40" spans="1:7" x14ac:dyDescent="0.3">
      <c r="A40" s="41" t="s">
        <v>184</v>
      </c>
      <c r="B40" s="41">
        <f>B8</f>
        <v>-162.37923352547955</v>
      </c>
      <c r="C40" s="41"/>
      <c r="D40" s="41"/>
      <c r="E40" s="41"/>
      <c r="F40" s="41"/>
      <c r="G40" s="41"/>
    </row>
    <row r="41" spans="1:7" x14ac:dyDescent="0.3">
      <c r="A41" s="45" t="s">
        <v>185</v>
      </c>
      <c r="B41" s="46">
        <f>B39-B40</f>
        <v>1796.4499241011533</v>
      </c>
      <c r="C41" s="45"/>
      <c r="D41" s="45"/>
      <c r="E41" s="45"/>
      <c r="F41" s="45"/>
      <c r="G41" s="45"/>
    </row>
    <row r="42" spans="1:7" x14ac:dyDescent="0.3">
      <c r="A42" s="47"/>
      <c r="B42" s="47"/>
      <c r="C42" s="47"/>
      <c r="D42" s="47"/>
      <c r="E42" s="47"/>
      <c r="F42" s="47"/>
      <c r="G42" s="47"/>
    </row>
    <row r="43" spans="1:7" x14ac:dyDescent="0.3">
      <c r="A43" s="48" t="s">
        <v>186</v>
      </c>
      <c r="B43" s="48">
        <f>B9</f>
        <v>3</v>
      </c>
      <c r="C43" s="48"/>
      <c r="D43" s="48"/>
      <c r="E43" s="48"/>
      <c r="F43" s="48"/>
      <c r="G43" s="48"/>
    </row>
    <row r="44" spans="1:7" x14ac:dyDescent="0.3">
      <c r="A44" s="33" t="s">
        <v>187</v>
      </c>
      <c r="B44" s="33">
        <f>B41/B43</f>
        <v>598.81664136705115</v>
      </c>
      <c r="C44" s="33"/>
      <c r="D44" s="33"/>
      <c r="E44" s="33"/>
      <c r="F44" s="33"/>
      <c r="G44" s="33"/>
    </row>
    <row r="45" spans="1:7" x14ac:dyDescent="0.3">
      <c r="A45" s="40" t="s">
        <v>188</v>
      </c>
      <c r="B45" s="40" t="s">
        <v>189</v>
      </c>
      <c r="C45" s="40"/>
      <c r="D45" s="40"/>
      <c r="E45" s="40"/>
      <c r="F45" s="40"/>
      <c r="G45" s="40"/>
    </row>
    <row r="46" spans="1:7" x14ac:dyDescent="0.3">
      <c r="A46" s="49" t="s">
        <v>190</v>
      </c>
      <c r="B46" s="49" t="s">
        <v>189</v>
      </c>
      <c r="C46" s="49"/>
      <c r="D46" s="49"/>
      <c r="E46" s="49"/>
      <c r="F46" s="49"/>
      <c r="G46" s="49"/>
    </row>
    <row r="47" spans="1:7" x14ac:dyDescent="0.3">
      <c r="A47" s="33" t="s">
        <v>191</v>
      </c>
      <c r="B47" s="33">
        <f>B38/B39</f>
        <v>0.7189967139445973</v>
      </c>
      <c r="C47" s="33"/>
      <c r="D47" s="33"/>
      <c r="E47" s="33"/>
      <c r="F47" s="33"/>
      <c r="G47" s="33"/>
    </row>
    <row r="48" spans="1:7" x14ac:dyDescent="0.3">
      <c r="A48" s="33" t="s">
        <v>192</v>
      </c>
      <c r="B48" s="33" t="str">
        <f>IF('Balance Sheet'!F22=0,"PASS","REVIEW")</f>
        <v>PASS</v>
      </c>
      <c r="C48" s="33"/>
      <c r="D48" s="33"/>
      <c r="E48" s="33"/>
      <c r="F48" s="33"/>
      <c r="G48" s="33"/>
    </row>
    <row r="49" spans="1:7" x14ac:dyDescent="0.3">
      <c r="A49" s="33"/>
      <c r="B49" s="33"/>
      <c r="C49" s="33"/>
      <c r="D49" s="33"/>
      <c r="E49" s="33"/>
      <c r="F49" s="33"/>
      <c r="G49" s="33"/>
    </row>
    <row r="50" spans="1:7" x14ac:dyDescent="0.3">
      <c r="A50" s="33"/>
      <c r="B50" s="33"/>
      <c r="C50" s="33"/>
      <c r="D50" s="33"/>
      <c r="E50" s="33"/>
      <c r="F50" s="33"/>
      <c r="G50" s="33"/>
    </row>
    <row r="51" spans="1:7" x14ac:dyDescent="0.3">
      <c r="A51" s="50" t="s">
        <v>193</v>
      </c>
      <c r="B51" s="50">
        <f>$B$7-1%</f>
        <v>1.9999999999999997E-2</v>
      </c>
      <c r="C51" s="50">
        <f>$B$7-0.5%</f>
        <v>2.4999999999999998E-2</v>
      </c>
      <c r="D51" s="50">
        <f>$B$7</f>
        <v>0.03</v>
      </c>
      <c r="E51" s="50">
        <f>$B$7+0.5%</f>
        <v>3.4999999999999996E-2</v>
      </c>
      <c r="F51" s="50">
        <f>$B$7+1%</f>
        <v>0.04</v>
      </c>
      <c r="G51" s="50"/>
    </row>
    <row r="52" spans="1:7" x14ac:dyDescent="0.3">
      <c r="A52" s="51" t="s">
        <v>154</v>
      </c>
      <c r="B52" s="51"/>
      <c r="C52" s="51"/>
      <c r="D52" s="51"/>
      <c r="E52" s="51"/>
      <c r="F52" s="51"/>
      <c r="G52" s="51"/>
    </row>
    <row r="53" spans="1:7" x14ac:dyDescent="0.3">
      <c r="A53" s="33">
        <f>$B$6-2%</f>
        <v>8.7654086978137438E-2</v>
      </c>
      <c r="B53" s="52" cm="1">
        <f t="array" ref="B53">((SUMPRODUCT($B$23:$F$23,1/(1+$A53)^$B$27:$F$27)+$F$23*(1+B$51)/($A53-B$51)/(1+$A53)^$F$27)-$B$8)/$B$9</f>
        <v>697.50868096576721</v>
      </c>
      <c r="C53" s="52" cm="1">
        <f t="array" ref="C53">((SUMPRODUCT($B$23:$F$23,1/(1+$A53)^$B$27:$F$27)+$F$23*(1+C$51)/($A53-C$51)/(1+$A53)^$F$27)-$B$8)/$B$9</f>
        <v>738.62659303704675</v>
      </c>
      <c r="D53" s="52" cm="1">
        <f t="array" ref="D53">((SUMPRODUCT($B$23:$F$23,1/(1+$A53)^$B$27:$F$27)+$F$23*(1+D$51)/($A53-D$51)/(1+$A53)^$F$27)-$B$8)/$B$9</f>
        <v>786.87633465006763</v>
      </c>
      <c r="E53" s="52" cm="1">
        <f t="array" ref="E53">((SUMPRODUCT($B$23:$F$23,1/(1+$A53)^$B$27:$F$27)+$F$23*(1+E$51)/($A53-E$51)/(1+$A53)^$F$27)-$B$8)/$B$9</f>
        <v>844.28960836137594</v>
      </c>
      <c r="F53" s="52" cm="1">
        <f t="array" ref="F53">((SUMPRODUCT($B$23:$F$23,1/(1+$A53)^$B$27:$F$27)+$F$23*(1+F$51)/($A53-F$51)/(1+$A53)^$F$27)-$B$8)/$B$9</f>
        <v>913.7508043710701</v>
      </c>
      <c r="G53" s="33"/>
    </row>
    <row r="54" spans="1:7" x14ac:dyDescent="0.3">
      <c r="A54" s="33">
        <f>$B$6-1%</f>
        <v>9.7654086978137447E-2</v>
      </c>
      <c r="B54" s="52" cm="1">
        <f t="array" ref="B54">((SUMPRODUCT($B$23:$F$23,1/(1+$A54)^$B$27:$F$27)+$F$23*(1+B$51)/($A54-B$51)/(1+$A54)^$F$27)-$B$8)/$B$9</f>
        <v>614.66505072688085</v>
      </c>
      <c r="C54" s="52" cm="1">
        <f t="array" ref="C54">((SUMPRODUCT($B$23:$F$23,1/(1+$A54)^$B$27:$F$27)+$F$23*(1+C$51)/($A54-C$51)/(1+$A54)^$F$27)-$B$8)/$B$9</f>
        <v>644.5834717768962</v>
      </c>
      <c r="D54" s="52" cm="1">
        <f t="array" ref="D54">((SUMPRODUCT($B$23:$F$23,1/(1+$A54)^$B$27:$F$27)+$F$23*(1+D$51)/($A54-D$51)/(1+$A54)^$F$27)-$B$8)/$B$9</f>
        <v>678.92415648996041</v>
      </c>
      <c r="E54" s="52" cm="1">
        <f t="array" ref="E54">((SUMPRODUCT($B$23:$F$23,1/(1+$A54)^$B$27:$F$27)+$F$23*(1+E$51)/($A54-E$51)/(1+$A54)^$F$27)-$B$8)/$B$9</f>
        <v>718.74583795349133</v>
      </c>
      <c r="F54" s="52" cm="1">
        <f t="array" ref="F54">((SUMPRODUCT($B$23:$F$23,1/(1+$A54)^$B$27:$F$27)+$F$23*(1+F$51)/($A54-F$51)/(1+$A54)^$F$27)-$B$8)/$B$9</f>
        <v>765.47452003930812</v>
      </c>
      <c r="G54" s="33"/>
    </row>
    <row r="55" spans="1:7" x14ac:dyDescent="0.3">
      <c r="A55" s="40">
        <f>$B$6</f>
        <v>0.10765408697813744</v>
      </c>
      <c r="B55" s="52" cm="1">
        <f t="array" ref="B55">((SUMPRODUCT($B$23:$F$23,1/(1+$A55)^$B$27:$F$27)+$F$23*(1+B$51)/($A55-B$51)/(1+$A55)^$F$27)-$B$8)/$B$9</f>
        <v>550.76909104257015</v>
      </c>
      <c r="C55" s="52" cm="1">
        <f t="array" ref="C55">((SUMPRODUCT($B$23:$F$23,1/(1+$A55)^$B$27:$F$27)+$F$23*(1+C$51)/($A55-C$51)/(1+$A55)^$F$27)-$B$8)/$B$9</f>
        <v>573.33959413802245</v>
      </c>
      <c r="D55" s="53" cm="1">
        <f t="array" ref="D55">((SUMPRODUCT($B$23:$F$23,1/(1+$A55)^$B$27:$F$27)+$F$23*(1+D$51)/($A55-D$51)/(1+$A55)^$F$27)-$B$8)/$B$9</f>
        <v>598.81664136705126</v>
      </c>
      <c r="E55" s="52" cm="1">
        <f t="array" ref="E55">((SUMPRODUCT($B$23:$F$23,1/(1+$A55)^$B$27:$F$27)+$F$23*(1+E$51)/($A55-E$51)/(1+$A55)^$F$27)-$B$8)/$B$9</f>
        <v>627.8003113187209</v>
      </c>
      <c r="F55" s="52" cm="1">
        <f t="array" ref="F55">((SUMPRODUCT($B$23:$F$23,1/(1+$A55)^$B$27:$F$27)+$F$23*(1+F$51)/($A55-F$51)/(1+$A55)^$F$27)-$B$8)/$B$9</f>
        <v>661.06807869099998</v>
      </c>
      <c r="G55" s="33"/>
    </row>
    <row r="56" spans="1:7" x14ac:dyDescent="0.3">
      <c r="A56" s="33">
        <f>$B$6+1%</f>
        <v>0.11765408697813744</v>
      </c>
      <c r="B56" s="52" cm="1">
        <f t="array" ref="B56">((SUMPRODUCT($B$23:$F$23,1/(1+$A56)^$B$27:$F$27)+$F$23*(1+B$51)/($A56-B$51)/(1+$A56)^$F$27)-$B$8)/$B$9</f>
        <v>499.99802397870047</v>
      </c>
      <c r="C56" s="52" cm="1">
        <f t="array" ref="C56">((SUMPRODUCT($B$23:$F$23,1/(1+$A56)^$B$27:$F$27)+$F$23*(1+C$51)/($A56-C$51)/(1+$A56)^$F$27)-$B$8)/$B$9</f>
        <v>517.51105597636922</v>
      </c>
      <c r="D56" s="52" cm="1">
        <f t="array" ref="D56">((SUMPRODUCT($B$23:$F$23,1/(1+$A56)^$B$27:$F$27)+$F$23*(1+D$51)/($A56-D$51)/(1+$A56)^$F$27)-$B$8)/$B$9</f>
        <v>537.02205893026246</v>
      </c>
      <c r="E56" s="52" cm="1">
        <f t="array" ref="E56">((SUMPRODUCT($B$23:$F$23,1/(1+$A56)^$B$27:$F$27)+$F$23*(1+E$51)/($A56-E$51)/(1+$A56)^$F$27)-$B$8)/$B$9</f>
        <v>558.89362306960004</v>
      </c>
      <c r="F56" s="52" cm="1">
        <f t="array" ref="F56">((SUMPRODUCT($B$23:$F$23,1/(1+$A56)^$B$27:$F$27)+$F$23*(1+F$51)/($A56-F$51)/(1+$A56)^$F$27)-$B$8)/$B$9</f>
        <v>583.58172462383186</v>
      </c>
      <c r="G56" s="33"/>
    </row>
    <row r="57" spans="1:7" x14ac:dyDescent="0.3">
      <c r="A57" s="33">
        <f>$B$6+2%</f>
        <v>0.12765408697813743</v>
      </c>
      <c r="B57" s="52" cm="1">
        <f t="array" ref="B57">((SUMPRODUCT($B$23:$F$23,1/(1+$A57)^$B$27:$F$27)+$F$23*(1+B$51)/($A57-B$51)/(1+$A57)^$F$27)-$B$8)/$B$9</f>
        <v>458.6926793462107</v>
      </c>
      <c r="C57" s="52" cm="1">
        <f t="array" ref="C57">((SUMPRODUCT($B$23:$F$23,1/(1+$A57)^$B$27:$F$27)+$F$23*(1+C$51)/($A57-C$51)/(1+$A57)^$F$27)-$B$8)/$B$9</f>
        <v>472.59124145815713</v>
      </c>
      <c r="D57" s="52" cm="1">
        <f t="array" ref="D57">((SUMPRODUCT($B$23:$F$23,1/(1+$A57)^$B$27:$F$27)+$F$23*(1+D$51)/($A57-D$51)/(1+$A57)^$F$27)-$B$8)/$B$9</f>
        <v>487.91304785429401</v>
      </c>
      <c r="E57" s="52" cm="1">
        <f t="array" ref="E57">((SUMPRODUCT($B$23:$F$23,1/(1+$A57)^$B$27:$F$27)+$F$23*(1+E$51)/($A57-E$51)/(1+$A57)^$F$27)-$B$8)/$B$9</f>
        <v>504.88851108261696</v>
      </c>
      <c r="F57" s="52" cm="1">
        <f t="array" ref="F57">((SUMPRODUCT($B$23:$F$23,1/(1+$A57)^$B$27:$F$27)+$F$23*(1+F$51)/($A57-F$51)/(1+$A57)^$F$27)-$B$8)/$B$9</f>
        <v>523.80061683538463</v>
      </c>
      <c r="G57" s="33"/>
    </row>
    <row r="58" spans="1:7" x14ac:dyDescent="0.3">
      <c r="A58" s="33"/>
      <c r="B58" s="33"/>
      <c r="C58" s="33"/>
      <c r="D58" s="33"/>
      <c r="E58" s="33"/>
      <c r="F58" s="33"/>
      <c r="G58" s="33"/>
    </row>
    <row r="59" spans="1:7" x14ac:dyDescent="0.3">
      <c r="A59" s="33"/>
      <c r="B59" s="33"/>
      <c r="C59" s="33"/>
      <c r="D59" s="33"/>
      <c r="E59" s="33"/>
      <c r="F59" s="33"/>
      <c r="G59" s="33"/>
    </row>
    <row r="60" spans="1:7" x14ac:dyDescent="0.3">
      <c r="A60" s="33"/>
      <c r="B60" s="33"/>
      <c r="C60" s="33"/>
      <c r="D60" s="33"/>
      <c r="E60" s="33"/>
      <c r="F60" s="33"/>
      <c r="G60" s="33"/>
    </row>
    <row r="61" spans="1:7" x14ac:dyDescent="0.3">
      <c r="A61" s="50" t="s">
        <v>194</v>
      </c>
      <c r="B61" s="50">
        <v>0.18</v>
      </c>
      <c r="C61" s="50">
        <v>0.2</v>
      </c>
      <c r="D61" s="50">
        <v>0.22</v>
      </c>
      <c r="E61" s="50">
        <v>0.24</v>
      </c>
      <c r="F61" s="50">
        <v>0.26</v>
      </c>
      <c r="G61" s="50"/>
    </row>
    <row r="62" spans="1:7" x14ac:dyDescent="0.3">
      <c r="A62" s="51" t="s">
        <v>18</v>
      </c>
      <c r="B62" s="51"/>
      <c r="C62" s="51"/>
      <c r="D62" s="51"/>
      <c r="E62" s="51"/>
      <c r="F62" s="51"/>
      <c r="G62" s="51"/>
    </row>
    <row r="63" spans="1:7" x14ac:dyDescent="0.3">
      <c r="A63" s="54">
        <v>0.04</v>
      </c>
      <c r="B63" s="52">
        <f>($B$41/$B$43)*(1+$A63-8%)*(1+B$61-22%)*1</f>
        <v>551.86941668387431</v>
      </c>
      <c r="C63" s="52">
        <f>($B$41/$B$43)*(1+$A63-8%)*(1+C$61-22%)*1</f>
        <v>563.36669619812176</v>
      </c>
      <c r="D63" s="52">
        <f>($B$41/$B$43)*(1+$A63-8%)*(1+D$61-22%)*1</f>
        <v>574.8639757123691</v>
      </c>
      <c r="E63" s="52">
        <f>($B$41/$B$43)*(1+$A63-8%)*(1+E$61-22%)*1</f>
        <v>586.36125522661644</v>
      </c>
      <c r="F63" s="52">
        <f>($B$41/$B$43)*(1+$A63-8%)*(1+F$61-22%)*1</f>
        <v>597.85853474086389</v>
      </c>
      <c r="G63" s="33"/>
    </row>
    <row r="64" spans="1:7" x14ac:dyDescent="0.3">
      <c r="A64" s="54">
        <v>0.06</v>
      </c>
      <c r="B64" s="52">
        <f>($B$41/$B$43)*(1+$A64-8%)*(1+B$61-22%)*1</f>
        <v>563.36669619812176</v>
      </c>
      <c r="C64" s="52">
        <f>($B$41/$B$43)*(1+$A64-8%)*(1+C$61-22%)*1</f>
        <v>575.103502368916</v>
      </c>
      <c r="D64" s="52">
        <f>($B$41/$B$43)*(1+$A64-8%)*(1+D$61-22%)*1</f>
        <v>586.84030853971024</v>
      </c>
      <c r="E64" s="52">
        <f>($B$41/$B$43)*(1+$A64-8%)*(1+E$61-22%)*1</f>
        <v>598.57711471050447</v>
      </c>
      <c r="F64" s="52">
        <f>($B$41/$B$43)*(1+$A64-8%)*(1+F$61-22%)*1</f>
        <v>610.31392088129871</v>
      </c>
      <c r="G64" s="33"/>
    </row>
    <row r="65" spans="1:7" x14ac:dyDescent="0.3">
      <c r="A65" s="54">
        <v>0.08</v>
      </c>
      <c r="B65" s="52">
        <f>($B$41/$B$43)*(1+$A65-8%)*(1+B$61-22%)*1</f>
        <v>574.8639757123691</v>
      </c>
      <c r="C65" s="52">
        <f>($B$41/$B$43)*(1+$A65-8%)*(1+C$61-22%)*1</f>
        <v>586.84030853971012</v>
      </c>
      <c r="D65" s="53">
        <f>($B$41/$B$43)*(1+$A65-8%)*(1+D$61-22%)*1</f>
        <v>598.81664136705115</v>
      </c>
      <c r="E65" s="52">
        <f>($B$41/$B$43)*(1+$A65-8%)*(1+E$61-22%)*1</f>
        <v>610.79297419439217</v>
      </c>
      <c r="F65" s="52">
        <f>($B$41/$B$43)*(1+$A65-8%)*(1+F$61-22%)*1</f>
        <v>622.7693070217332</v>
      </c>
      <c r="G65" s="33"/>
    </row>
    <row r="66" spans="1:7" x14ac:dyDescent="0.3">
      <c r="A66" s="54">
        <v>0.1</v>
      </c>
      <c r="B66" s="52">
        <f>($B$41/$B$43)*(1+$A66-8%)*(1+B$61-22%)*1</f>
        <v>586.36125522661644</v>
      </c>
      <c r="C66" s="52">
        <f>($B$41/$B$43)*(1+$A66-8%)*(1+C$61-22%)*1</f>
        <v>598.57711471050436</v>
      </c>
      <c r="D66" s="52">
        <f>($B$41/$B$43)*(1+$A66-8%)*(1+D$61-22%)*1</f>
        <v>610.79297419439217</v>
      </c>
      <c r="E66" s="52">
        <f>($B$41/$B$43)*(1+$A66-8%)*(1+E$61-22%)*1</f>
        <v>623.00883367827998</v>
      </c>
      <c r="F66" s="52">
        <f>($B$41/$B$43)*(1+$A66-8%)*(1+F$61-22%)*1</f>
        <v>635.22469316216791</v>
      </c>
      <c r="G66" s="33"/>
    </row>
    <row r="67" spans="1:7" x14ac:dyDescent="0.3">
      <c r="A67" s="54">
        <v>0.12</v>
      </c>
      <c r="B67" s="52">
        <f>($B$41/$B$43)*(1+$A67-8%)*(1+B$61-22%)*1</f>
        <v>597.85853474086389</v>
      </c>
      <c r="C67" s="52">
        <f>($B$41/$B$43)*(1+$A67-8%)*(1+C$61-22%)*1</f>
        <v>610.31392088129849</v>
      </c>
      <c r="D67" s="52">
        <f>($B$41/$B$43)*(1+$A67-8%)*(1+D$61-22%)*1</f>
        <v>622.7693070217332</v>
      </c>
      <c r="E67" s="52">
        <f>($B$41/$B$43)*(1+$A67-8%)*(1+E$61-22%)*1</f>
        <v>635.22469316216791</v>
      </c>
      <c r="F67" s="52">
        <f>($B$41/$B$43)*(1+$A67-8%)*(1+F$61-22%)*1</f>
        <v>647.68007930260251</v>
      </c>
      <c r="G67" s="33"/>
    </row>
    <row r="68" spans="1:7" x14ac:dyDescent="0.3">
      <c r="A68" s="33"/>
      <c r="B68" s="33"/>
      <c r="C68" s="33"/>
      <c r="D68" s="33"/>
      <c r="E68" s="33"/>
      <c r="F68" s="33"/>
      <c r="G68" s="33"/>
    </row>
    <row r="69" spans="1:7" x14ac:dyDescent="0.3">
      <c r="A69" s="33"/>
      <c r="B69" s="33"/>
      <c r="C69" s="33"/>
      <c r="D69" s="33"/>
      <c r="E69" s="33"/>
      <c r="F69" s="33"/>
      <c r="G69" s="33"/>
    </row>
    <row r="70" spans="1:7" x14ac:dyDescent="0.3">
      <c r="A70" s="33"/>
      <c r="B70" s="33"/>
      <c r="C70" s="33"/>
      <c r="D70" s="33"/>
      <c r="E70" s="33"/>
      <c r="F70" s="33"/>
      <c r="G70" s="33"/>
    </row>
    <row r="71" spans="1:7" x14ac:dyDescent="0.3">
      <c r="A71" s="50" t="s">
        <v>195</v>
      </c>
      <c r="B71" s="50">
        <f>WACC!B5-2%</f>
        <v>0.05</v>
      </c>
      <c r="C71" s="50">
        <f>WACC!B5-1%</f>
        <v>6.0000000000000005E-2</v>
      </c>
      <c r="D71" s="50">
        <f>WACC!B5</f>
        <v>7.0000000000000007E-2</v>
      </c>
      <c r="E71" s="50">
        <f>WACC!B5+1%</f>
        <v>0.08</v>
      </c>
      <c r="F71" s="50">
        <f>WACC!B5+2%</f>
        <v>9.0000000000000011E-2</v>
      </c>
      <c r="G71" s="50"/>
    </row>
    <row r="72" spans="1:7" x14ac:dyDescent="0.3">
      <c r="A72" s="51" t="s">
        <v>116</v>
      </c>
      <c r="B72" s="51"/>
      <c r="C72" s="51"/>
      <c r="D72" s="51"/>
      <c r="E72" s="51"/>
      <c r="F72" s="51"/>
      <c r="G72" s="51"/>
    </row>
    <row r="73" spans="1:7" x14ac:dyDescent="0.3">
      <c r="A73" s="33">
        <f>WACC!B6-0.2</f>
        <v>0.8</v>
      </c>
      <c r="B73" s="52" cm="1">
        <f t="array" ref="B73">((SUMPRODUCT($B$23:$F$23,1/(1+(WACC!$B$29*(B$71+$A73*WACC!$B$7)+WACC!$D$30))^$B$27:$F$27)+$F$23*(1+$B$7)/((WACC!$B$29*(B$71+$A73*WACC!$B$7)+WACC!$D$30)-$B$7)/(1+(WACC!$B$29*(B$71+$A73*WACC!$B$7)+WACC!$D$30))^$F$27)-$B$8)/$B$9</f>
        <v>845.43775021873626</v>
      </c>
      <c r="C73" s="52" cm="1">
        <f t="array" ref="C73">((SUMPRODUCT($B$23:$F$23,1/(1+(WACC!$B$29*(C$71+$A73*WACC!$B$7)+WACC!$D$30))^$B$27:$F$27)+$F$23*(1+$B$7)/((WACC!$B$29*(C$71+$A73*WACC!$B$7)+WACC!$D$30)-$B$7)/(1+(WACC!$B$29*(C$71+$A73*WACC!$B$7)+WACC!$D$30))^$F$27)-$B$8)/$B$9</f>
        <v>744.47134941014826</v>
      </c>
      <c r="D73" s="52" cm="1">
        <f t="array" ref="D73">((SUMPRODUCT($B$23:$F$23,1/(1+(WACC!$B$29*(D$71+$A73*WACC!$B$7)+WACC!$D$30))^$B$27:$F$27)+$F$23*(1+$B$7)/((WACC!$B$29*(D$71+$A73*WACC!$B$7)+WACC!$D$30)-$B$7)/(1+(WACC!$B$29*(D$71+$A73*WACC!$B$7)+WACC!$D$30))^$F$27)-$B$8)/$B$9</f>
        <v>666.44151961130137</v>
      </c>
      <c r="E73" s="52" cm="1">
        <f t="array" ref="E73">((SUMPRODUCT($B$23:$F$23,1/(1+(WACC!$B$29*(E$71+$A73*WACC!$B$7)+WACC!$D$30))^$B$27:$F$27)+$F$23*(1+$B$7)/((WACC!$B$29*(E$71+$A73*WACC!$B$7)+WACC!$D$30)-$B$7)/(1+(WACC!$B$29*(E$71+$A73*WACC!$B$7)+WACC!$D$30))^$F$27)-$B$8)/$B$9</f>
        <v>604.33677918424644</v>
      </c>
      <c r="F73" s="52" cm="1">
        <f t="array" ref="F73">((SUMPRODUCT($B$23:$F$23,1/(1+(WACC!$B$29*(F$71+$A73*WACC!$B$7)+WACC!$D$30))^$B$27:$F$27)+$F$23*(1+$B$7)/((WACC!$B$29*(F$71+$A73*WACC!$B$7)+WACC!$D$30)-$B$7)/(1+(WACC!$B$29*(F$71+$A73*WACC!$B$7)+WACC!$D$30))^$F$27)-$B$8)/$B$9</f>
        <v>553.73886246998529</v>
      </c>
      <c r="G73" s="33"/>
    </row>
    <row r="74" spans="1:7" x14ac:dyDescent="0.3">
      <c r="A74" s="33">
        <f>WACC!B6-0.1</f>
        <v>0.9</v>
      </c>
      <c r="B74" s="52" cm="1">
        <f t="array" ref="B74">((SUMPRODUCT($B$23:$F$23,1/(1+(WACC!$B$29*(B$71+$A74*WACC!$B$7)+WACC!$D$30))^$B$27:$F$27)+$F$23*(1+$B$7)/((WACC!$B$29*(B$71+$A74*WACC!$B$7)+WACC!$D$30)-$B$7)/(1+(WACC!$B$29*(B$71+$A74*WACC!$B$7)+WACC!$D$30))^$F$27)-$B$8)/$B$9</f>
        <v>786.50895123454086</v>
      </c>
      <c r="C74" s="52" cm="1">
        <f t="array" ref="C74">((SUMPRODUCT($B$23:$F$23,1/(1+(WACC!$B$29*(C$71+$A74*WACC!$B$7)+WACC!$D$30))^$B$27:$F$27)+$F$23*(1+$B$7)/((WACC!$B$29*(C$71+$A74*WACC!$B$7)+WACC!$D$30)-$B$7)/(1+(WACC!$B$29*(C$71+$A74*WACC!$B$7)+WACC!$D$30))^$F$27)-$B$8)/$B$9</f>
        <v>699.24254590847374</v>
      </c>
      <c r="D74" s="52" cm="1">
        <f t="array" ref="D74">((SUMPRODUCT($B$23:$F$23,1/(1+(WACC!$B$29*(D$71+$A74*WACC!$B$7)+WACC!$D$30))^$B$27:$F$27)+$F$23*(1+$B$7)/((WACC!$B$29*(D$71+$A74*WACC!$B$7)+WACC!$D$30)-$B$7)/(1+(WACC!$B$29*(D$71+$A74*WACC!$B$7)+WACC!$D$30))^$F$27)-$B$8)/$B$9</f>
        <v>630.63941403802426</v>
      </c>
      <c r="E74" s="52" cm="1">
        <f t="array" ref="E74">((SUMPRODUCT($B$23:$F$23,1/(1+(WACC!$B$29*(E$71+$A74*WACC!$B$7)+WACC!$D$30))^$B$27:$F$27)+$F$23*(1+$B$7)/((WACC!$B$29*(E$71+$A74*WACC!$B$7)+WACC!$D$30)-$B$7)/(1+(WACC!$B$29*(E$71+$A74*WACC!$B$7)+WACC!$D$30))^$F$27)-$B$8)/$B$9</f>
        <v>575.29694970159551</v>
      </c>
      <c r="F74" s="52" cm="1">
        <f t="array" ref="F74">((SUMPRODUCT($B$23:$F$23,1/(1+(WACC!$B$29*(F$71+$A74*WACC!$B$7)+WACC!$D$30))^$B$27:$F$27)+$F$23*(1+$B$7)/((WACC!$B$29*(F$71+$A74*WACC!$B$7)+WACC!$D$30)-$B$7)/(1+(WACC!$B$29*(F$71+$A74*WACC!$B$7)+WACC!$D$30))^$F$27)-$B$8)/$B$9</f>
        <v>529.71402595697907</v>
      </c>
      <c r="G74" s="33"/>
    </row>
    <row r="75" spans="1:7" x14ac:dyDescent="0.3">
      <c r="A75" s="33">
        <f>WACC!B6</f>
        <v>1</v>
      </c>
      <c r="B75" s="52" cm="1">
        <f t="array" ref="B75">((SUMPRODUCT($B$23:$F$23,1/(1+(WACC!$B$29*(B$71+$A75*WACC!$B$7)+WACC!$D$30))^$B$27:$F$27)+$F$23*(1+$B$7)/((WACC!$B$29*(B$71+$A75*WACC!$B$7)+WACC!$D$30)-$B$7)/(1+(WACC!$B$29*(B$71+$A75*WACC!$B$7)+WACC!$D$30))^$F$27)-$B$8)/$B$9</f>
        <v>735.77968095379163</v>
      </c>
      <c r="C75" s="52" cm="1">
        <f t="array" ref="C75">((SUMPRODUCT($B$23:$F$23,1/(1+(WACC!$B$29*(C$71+$A75*WACC!$B$7)+WACC!$D$30))^$B$27:$F$27)+$F$23*(1+$B$7)/((WACC!$B$29*(C$71+$A75*WACC!$B$7)+WACC!$D$30)-$B$7)/(1+(WACC!$B$29*(C$71+$A75*WACC!$B$7)+WACC!$D$30))^$F$27)-$B$8)/$B$9</f>
        <v>659.60285484226904</v>
      </c>
      <c r="D75" s="53" cm="1">
        <f t="array" ref="D75">((SUMPRODUCT($B$23:$F$23,1/(1+(WACC!$B$29*(D$71+$A75*WACC!$B$7)+WACC!$D$30))^$B$27:$F$27)+$F$23*(1+$B$7)/((WACC!$B$29*(D$71+$A75*WACC!$B$7)+WACC!$D$30)-$B$7)/(1+(WACC!$D$30)-$B$7)/(1+(WACC!$B$29*(D$71+$A75*WACC!$B$7)+WACC!$D$30))^$F$27)-$B$8)/$B$9</f>
        <v>606.90818397582927</v>
      </c>
      <c r="E75" s="52" cm="1">
        <f t="array" ref="E75">((SUMPRODUCT($B$23:$F$23,1/(1+(WACC!$B$29*(E$71+$A75*WACC!$B$7)+WACC!$D$30))^$B$27:$F$27)+$F$23*(1+$B$7)/((WACC!$B$29*(E$71+$A75*WACC!$B$7)+WACC!$D$30)-$B$7)/(1+(WACC!$B$29*(E$71+$A75*WACC!$B$7)+WACC!$D$30))^$F$27)-$B$8)/$B$9</f>
        <v>549.19015425793452</v>
      </c>
      <c r="F75" s="52" cm="1">
        <f t="array" ref="F75">((SUMPRODUCT($B$23:$F$23,1/(1+(WACC!$B$29*(F$71+$A75*WACC!$B$7)+WACC!$D$30))^$B$27:$F$27)+$F$23*(1+$B$7)/((WACC!$B$29*(F$71+$A75*WACC!$B$7)+WACC!$D$30)-$B$7)/(1+(WACC!$B$29*(F$71+$A75*WACC!$B$7)+WACC!$D$30))^$F$27)-$B$8)/$B$9</f>
        <v>507.9128641433004</v>
      </c>
      <c r="G75" s="33"/>
    </row>
    <row r="76" spans="1:7" x14ac:dyDescent="0.3">
      <c r="A76" s="33">
        <f>WACC!B6+0.1</f>
        <v>1.1000000000000001</v>
      </c>
      <c r="B76" s="52" cm="1">
        <f t="array" ref="B76">((SUMPRODUCT($B$23:$F$23,1/(1+(WACC!$B$29*(B$71+$A76*WACC!$B$7)+WACC!$D$30))^$B$27:$F$27)+$F$23*(1+$B$7)/((WACC!$B$29*(B$71+$A76*WACC!$B$7)+WACC!$D$30)-$B$7)/(1+(WACC!$B$29*(B$71+$A76*WACC!$B$7)+WACC!$D$30))^$F$27)-$B$8)/$B$9</f>
        <v>691.65153662036357</v>
      </c>
      <c r="C76" s="52" cm="1">
        <f t="array" ref="C76">((SUMPRODUCT($B$23:$F$23,1/(1+(WACC!$B$29*(C$71+$A76*WACC!$B$7)+WACC!$D$30))^$B$27:$F$27)+$F$23*(1+$B$7)/((WACC!$B$29*(C$71+$A76*WACC!$B$7)+WACC!$D$30)-$B$7)/(1+(WACC!$B$29*(C$71+$A76*WACC!$B$7)+WACC!$D$30))^$F$27)-$B$8)/$B$9</f>
        <v>624.57780259711092</v>
      </c>
      <c r="D76" s="52" cm="1">
        <f t="array" ref="D76">((SUMPRODUCT($B$23:$F$23,1/(1+(WACC!$B$29*(D$71+$A76*WACC!$B$7)+WACC!$D$30))^$B$27:$F$27)+$F$23*(1+$B$7)/((WACC!$B$29*(D$71+$A76*WACC!$B$7)+WACC!$D$30)-$B$7)/(1+(WACC!$B$29*(D$71+$A76*WACC!$B$7)+WACC!$D$30))^$F$27)-$B$8)/$B$9</f>
        <v>570.34565421118589</v>
      </c>
      <c r="E76" s="52" cm="1">
        <f t="array" ref="E76">((SUMPRODUCT($B$23:$F$23,1/(1+(WACC!$B$29*(E$71+$A76*WACC!$B$7)+WACC!$D$30))^$B$27:$F$27)+$F$23*(1+$B$7)/((WACC!$B$29*(E$71+$A76*WACC!$B$7)+WACC!$D$30)-$B$7)/(1+(WACC!$B$29*(E$71+$A76*WACC!$B$7)+WACC!$D$30))^$F$27)-$B$8)/$B$9</f>
        <v>525.59416160955004</v>
      </c>
      <c r="F76" s="52" cm="1">
        <f t="array" ref="F76">((SUMPRODUCT($B$23:$F$23,1/(1+(WACC!$B$29*(F$71+$A76*WACC!$B$7)+WACC!$D$30))^$B$27:$F$27)+$F$23*(1+$B$7)/((WACC!$B$29*(F$71+$A76*WACC!$B$7)+WACC!$D$30)-$B$7)/(1+(WACC!$B$29*(F$71+$A76*WACC!$B$7)+WACC!$D$30))^$F$27)-$B$8)/$B$9</f>
        <v>488.0409196763481</v>
      </c>
      <c r="G76" s="33"/>
    </row>
    <row r="77" spans="1:7" x14ac:dyDescent="0.3">
      <c r="A77" s="33">
        <f>WACC!B6+0.2</f>
        <v>1.2</v>
      </c>
      <c r="B77" s="52" cm="1">
        <f t="array" ref="B77">((SUMPRODUCT($B$23:$F$23,1/(1+(WACC!$B$29*(B$71+$A77*WACC!$B$7)+WACC!$D$30))^$B$27:$F$27)+$F$23*(1+$B$7)/((WACC!$B$29*(B$71+$A77*WACC!$B$7)+WACC!$D$30)-$B$7)/(1+(WACC!$B$29*(B$71+$A77*WACC!$B$7)+WACC!$D$30))^$F$27)-$B$8)/$B$9</f>
        <v>652.91617852123511</v>
      </c>
      <c r="C77" s="52" cm="1">
        <f t="array" ref="C77">((SUMPRODUCT($B$23:$F$23,1/(1+(WACC!$B$29*(C$71+$A77*WACC!$B$7)+WACC!$D$30))^$B$27:$F$27)+$F$23*(1+$B$7)/((WACC!$B$29*(C$71+$A77*WACC!$B$7)+WACC!$D$30)-$B$7)/(1+(WACC!$B$29*(C$71+$A77*WACC!$B$7)+WACC!$D$30))^$F$27)-$B$8)/$B$9</f>
        <v>593.40697658107149</v>
      </c>
      <c r="D77" s="52" cm="1">
        <f t="array" ref="D77">((SUMPRODUCT($B$23:$F$23,1/(1+(WACC!$B$29*(D$71+$A77*WACC!$B$7)+WACC!$D$30))^$B$27:$F$27)+$F$23*(1+$B$7)/((WACC!$B$29*(D$71+$A77*WACC!$B$7)+WACC!$D$30)-$B$7)/(1+(WACC!$B$29*(D$71+$A77*WACC!$B$7)+WACC!$D$30))^$F$27)-$B$8)/$B$9</f>
        <v>544.72424392147093</v>
      </c>
      <c r="E77" s="52" cm="1">
        <f t="array" ref="E77">((SUMPRODUCT($B$23:$F$23,1/(1+(WACC!$B$29*(E$71+$A77*WACC!$B$7)+WACC!$D$30))^$B$27:$F$27)+$F$23*(1+$B$7)/((WACC!$B$29*(E$71+$A77*WACC!$B$7)+WACC!$D$30)-$B$7)/(1+(WACC!$B$29*(E$71+$A77*WACC!$B$7)+WACC!$D$30))^$F$27)-$B$8)/$B$9</f>
        <v>504.16405405723214</v>
      </c>
      <c r="F77" s="52" cm="1">
        <f t="array" ref="F77">((SUMPRODUCT($B$23:$F$23,1/(1+(WACC!$B$29*(F$71+$A77*WACC!$B$7)+WACC!$D$30))^$B$27:$F$27)+$F$23*(1+$B$7)/((WACC!$B$29*(F$71+$A77*WACC!$B$7)+WACC!$D$30))^$F$27)-$B$8)/$B$9</f>
        <v>437999.24244897231</v>
      </c>
      <c r="G77" s="33"/>
    </row>
    <row r="78" spans="1:7" x14ac:dyDescent="0.3">
      <c r="A78" s="33"/>
      <c r="B78" s="33"/>
      <c r="C78" s="33"/>
      <c r="D78" s="33"/>
      <c r="E78" s="33"/>
      <c r="F78" s="33"/>
      <c r="G78" s="33"/>
    </row>
    <row r="79" spans="1:7" x14ac:dyDescent="0.3">
      <c r="A79" s="33"/>
      <c r="B79" s="33"/>
      <c r="C79" s="33"/>
      <c r="D79" s="33"/>
      <c r="E79" s="33"/>
      <c r="F79" s="33"/>
      <c r="G79" s="33"/>
    </row>
    <row r="80" spans="1:7" x14ac:dyDescent="0.3">
      <c r="A80" s="33"/>
      <c r="B80" s="33"/>
      <c r="C80" s="33"/>
      <c r="D80" s="33"/>
      <c r="E80" s="33"/>
      <c r="F80" s="33"/>
      <c r="G80" s="33"/>
    </row>
    <row r="81" spans="1:7" x14ac:dyDescent="0.3">
      <c r="A81" s="32" t="s">
        <v>196</v>
      </c>
      <c r="B81" s="32"/>
      <c r="C81" s="32"/>
      <c r="D81" s="32"/>
      <c r="E81" s="32"/>
      <c r="F81" s="32"/>
      <c r="G81" s="32"/>
    </row>
    <row r="82" spans="1:7" x14ac:dyDescent="0.3">
      <c r="A82" s="33" t="s">
        <v>197</v>
      </c>
      <c r="B82" s="33" t="s">
        <v>198</v>
      </c>
      <c r="C82" s="33"/>
      <c r="D82" s="33"/>
      <c r="E82" s="33"/>
      <c r="F82" s="33"/>
      <c r="G82" s="33"/>
    </row>
    <row r="83" spans="1:7" x14ac:dyDescent="0.3">
      <c r="A83" s="33" t="s">
        <v>199</v>
      </c>
      <c r="B83" s="33" t="s">
        <v>200</v>
      </c>
      <c r="C83" s="33"/>
      <c r="D83" s="33"/>
      <c r="E83" s="33"/>
      <c r="F83" s="33"/>
      <c r="G83" s="33"/>
    </row>
    <row r="84" spans="1:7" x14ac:dyDescent="0.3">
      <c r="A84" s="33" t="s">
        <v>201</v>
      </c>
      <c r="B84" s="33" t="s">
        <v>202</v>
      </c>
      <c r="C84" s="33"/>
      <c r="D84" s="33"/>
      <c r="E84" s="33"/>
      <c r="F84" s="33"/>
      <c r="G84" s="33"/>
    </row>
    <row r="85" spans="1:7" x14ac:dyDescent="0.3">
      <c r="A85" s="33" t="s">
        <v>203</v>
      </c>
      <c r="B85" s="33" t="s">
        <v>204</v>
      </c>
      <c r="C85" s="33"/>
      <c r="D85" s="33"/>
      <c r="E85" s="33"/>
      <c r="F85" s="33"/>
      <c r="G85" s="33"/>
    </row>
    <row r="86" spans="1:7" x14ac:dyDescent="0.3">
      <c r="A86" s="33" t="s">
        <v>205</v>
      </c>
      <c r="B86" s="33" t="s">
        <v>206</v>
      </c>
      <c r="C86" s="33"/>
      <c r="D86" s="33"/>
      <c r="E86" s="33"/>
      <c r="F86" s="33"/>
      <c r="G86" s="33"/>
    </row>
    <row r="87" spans="1:7" x14ac:dyDescent="0.3">
      <c r="A87" s="33"/>
      <c r="B87" s="33"/>
      <c r="C87" s="33"/>
      <c r="D87" s="33"/>
      <c r="E87" s="33"/>
      <c r="F87" s="33"/>
      <c r="G87" s="33"/>
    </row>
    <row r="88" spans="1:7" x14ac:dyDescent="0.3">
      <c r="A88" s="55" t="s">
        <v>207</v>
      </c>
      <c r="B88" s="55" t="s">
        <v>208</v>
      </c>
      <c r="C88" s="55"/>
      <c r="D88" s="55"/>
      <c r="E88" s="55"/>
      <c r="F88" s="55"/>
      <c r="G88" s="5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E443-D379-45D8-830B-025F8462489E}">
  <dimension ref="A1:E32"/>
  <sheetViews>
    <sheetView zoomScale="5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.21875" customWidth="1"/>
    <col min="2" max="2" width="19.44140625" customWidth="1"/>
    <col min="3" max="3" width="48.109375" customWidth="1"/>
    <col min="4" max="4" width="11.44140625" bestFit="1" customWidth="1"/>
  </cols>
  <sheetData>
    <row r="1" spans="1:5" x14ac:dyDescent="0.3">
      <c r="A1" s="32" t="s">
        <v>109</v>
      </c>
      <c r="B1" s="32"/>
      <c r="C1" s="32"/>
      <c r="D1" s="32"/>
      <c r="E1" s="32"/>
    </row>
    <row r="2" spans="1:5" x14ac:dyDescent="0.3">
      <c r="A2" s="33" t="s">
        <v>110</v>
      </c>
      <c r="B2" s="33"/>
      <c r="C2" s="33"/>
      <c r="D2" s="33"/>
      <c r="E2" s="33"/>
    </row>
    <row r="3" spans="1:5" x14ac:dyDescent="0.3">
      <c r="A3" s="33"/>
      <c r="B3" s="33"/>
      <c r="C3" s="33"/>
      <c r="D3" s="33"/>
      <c r="E3" s="33"/>
    </row>
    <row r="4" spans="1:5" x14ac:dyDescent="0.3">
      <c r="A4" s="32" t="s">
        <v>111</v>
      </c>
      <c r="B4" s="32" t="s">
        <v>112</v>
      </c>
      <c r="C4" s="32" t="s">
        <v>113</v>
      </c>
      <c r="D4" s="32"/>
      <c r="E4" s="32"/>
    </row>
    <row r="5" spans="1:5" x14ac:dyDescent="0.3">
      <c r="A5" s="56" t="s">
        <v>114</v>
      </c>
      <c r="B5" s="56">
        <v>7.0000000000000007E-2</v>
      </c>
      <c r="C5" s="56" t="s">
        <v>115</v>
      </c>
      <c r="D5" s="56"/>
      <c r="E5" s="56"/>
    </row>
    <row r="6" spans="1:5" x14ac:dyDescent="0.3">
      <c r="A6" s="57" t="s">
        <v>116</v>
      </c>
      <c r="B6" s="57">
        <v>1</v>
      </c>
      <c r="C6" s="57" t="s">
        <v>117</v>
      </c>
      <c r="D6" s="57"/>
      <c r="E6" s="57"/>
    </row>
    <row r="7" spans="1:5" x14ac:dyDescent="0.3">
      <c r="A7" s="56" t="s">
        <v>118</v>
      </c>
      <c r="B7" s="56">
        <v>5.5E-2</v>
      </c>
      <c r="C7" s="56" t="s">
        <v>119</v>
      </c>
      <c r="D7" s="56"/>
      <c r="E7" s="56"/>
    </row>
    <row r="8" spans="1:5" x14ac:dyDescent="0.3">
      <c r="A8" s="33"/>
      <c r="B8" s="33"/>
      <c r="C8" s="33"/>
      <c r="D8" s="33"/>
      <c r="E8" s="33"/>
    </row>
    <row r="9" spans="1:5" x14ac:dyDescent="0.3">
      <c r="A9" s="58" t="s">
        <v>120</v>
      </c>
      <c r="B9" s="58">
        <f>B5+B6*B7</f>
        <v>0.125</v>
      </c>
      <c r="C9" s="58" t="s">
        <v>121</v>
      </c>
      <c r="D9" s="58"/>
      <c r="E9" s="58"/>
    </row>
    <row r="10" spans="1:5" x14ac:dyDescent="0.3">
      <c r="A10" s="33"/>
      <c r="B10" s="33"/>
      <c r="C10" s="33"/>
      <c r="D10" s="33"/>
      <c r="E10" s="33"/>
    </row>
    <row r="11" spans="1:5" x14ac:dyDescent="0.3">
      <c r="A11" s="32" t="s">
        <v>122</v>
      </c>
      <c r="B11" s="32" t="s">
        <v>112</v>
      </c>
      <c r="C11" s="32" t="s">
        <v>113</v>
      </c>
      <c r="D11" s="32"/>
      <c r="E11" s="32"/>
    </row>
    <row r="12" spans="1:5" x14ac:dyDescent="0.3">
      <c r="A12" s="35" t="s">
        <v>123</v>
      </c>
      <c r="B12" s="35">
        <f>Assumptions!E13</f>
        <v>0.06</v>
      </c>
      <c r="C12" s="35" t="s">
        <v>124</v>
      </c>
      <c r="D12" s="35"/>
      <c r="E12" s="35"/>
    </row>
    <row r="13" spans="1:5" x14ac:dyDescent="0.3">
      <c r="A13" s="40" t="s">
        <v>125</v>
      </c>
      <c r="B13" s="40">
        <f>B12</f>
        <v>0.06</v>
      </c>
      <c r="C13" s="40" t="s">
        <v>126</v>
      </c>
      <c r="D13" s="40"/>
      <c r="E13" s="40"/>
    </row>
    <row r="14" spans="1:5" x14ac:dyDescent="0.3">
      <c r="A14" s="35" t="s">
        <v>1</v>
      </c>
      <c r="B14" s="35">
        <f>Assumptions!E12</f>
        <v>0.25</v>
      </c>
      <c r="C14" s="35" t="s">
        <v>124</v>
      </c>
      <c r="D14" s="35"/>
      <c r="E14" s="35"/>
    </row>
    <row r="15" spans="1:5" x14ac:dyDescent="0.3">
      <c r="A15" s="33"/>
      <c r="B15" s="33"/>
      <c r="C15" s="33"/>
      <c r="D15" s="33"/>
      <c r="E15" s="33"/>
    </row>
    <row r="16" spans="1:5" x14ac:dyDescent="0.3">
      <c r="A16" s="58" t="s">
        <v>127</v>
      </c>
      <c r="B16" s="58">
        <f>B13*(1-B14)</f>
        <v>4.4999999999999998E-2</v>
      </c>
      <c r="C16" s="58" t="s">
        <v>128</v>
      </c>
      <c r="D16" s="58"/>
      <c r="E16" s="58"/>
    </row>
    <row r="17" spans="1:5" x14ac:dyDescent="0.3">
      <c r="A17" s="33"/>
      <c r="B17" s="33"/>
      <c r="C17" s="33"/>
      <c r="D17" s="33"/>
      <c r="E17" s="33"/>
    </row>
    <row r="18" spans="1:5" x14ac:dyDescent="0.3">
      <c r="A18" s="32" t="s">
        <v>129</v>
      </c>
      <c r="B18" s="32" t="s">
        <v>112</v>
      </c>
      <c r="C18" s="32" t="s">
        <v>113</v>
      </c>
      <c r="D18" s="32"/>
      <c r="E18" s="32"/>
    </row>
    <row r="19" spans="1:5" x14ac:dyDescent="0.3">
      <c r="A19" s="37" t="s">
        <v>130</v>
      </c>
      <c r="B19" s="37">
        <f>'Balance Sheet'!F13</f>
        <v>270</v>
      </c>
      <c r="C19" s="37" t="s">
        <v>131</v>
      </c>
      <c r="D19" s="37"/>
      <c r="E19" s="37"/>
    </row>
    <row r="20" spans="1:5" x14ac:dyDescent="0.3">
      <c r="A20" s="37" t="s">
        <v>132</v>
      </c>
      <c r="B20" s="37">
        <f>'Balance Sheet'!F5</f>
        <v>432.37923352547955</v>
      </c>
      <c r="C20" s="37" t="s">
        <v>131</v>
      </c>
      <c r="D20" s="37"/>
      <c r="E20" s="37"/>
    </row>
    <row r="21" spans="1:5" x14ac:dyDescent="0.3">
      <c r="A21" s="59" t="s">
        <v>133</v>
      </c>
      <c r="B21" s="59">
        <f>B19-B20</f>
        <v>-162.37923352547955</v>
      </c>
      <c r="C21" s="59" t="s">
        <v>134</v>
      </c>
      <c r="D21" s="59"/>
      <c r="E21" s="59"/>
    </row>
    <row r="22" spans="1:5" x14ac:dyDescent="0.3">
      <c r="A22" s="37" t="s">
        <v>135</v>
      </c>
      <c r="B22" s="37">
        <f>'Balance Sheet'!F19</f>
        <v>975.25010432000022</v>
      </c>
      <c r="C22" s="37" t="s">
        <v>136</v>
      </c>
      <c r="D22" s="37"/>
      <c r="E22" s="37"/>
    </row>
    <row r="23" spans="1:5" x14ac:dyDescent="0.3">
      <c r="A23" s="59" t="s">
        <v>137</v>
      </c>
      <c r="B23" s="59">
        <f>B19+B22</f>
        <v>1245.2501043200002</v>
      </c>
      <c r="C23" s="59" t="s">
        <v>138</v>
      </c>
      <c r="D23" s="59"/>
      <c r="E23" s="59"/>
    </row>
    <row r="24" spans="1:5" x14ac:dyDescent="0.3">
      <c r="A24" s="33"/>
      <c r="B24" s="33"/>
      <c r="C24" s="33"/>
      <c r="D24" s="33"/>
      <c r="E24" s="33"/>
    </row>
    <row r="25" spans="1:5" x14ac:dyDescent="0.3">
      <c r="A25" s="60" t="s">
        <v>139</v>
      </c>
      <c r="B25" s="60" t="s">
        <v>140</v>
      </c>
      <c r="C25" s="60"/>
      <c r="D25" s="60"/>
      <c r="E25" s="60"/>
    </row>
    <row r="26" spans="1:5" x14ac:dyDescent="0.3">
      <c r="A26" s="33" t="s">
        <v>141</v>
      </c>
      <c r="B26" s="33" t="s">
        <v>142</v>
      </c>
      <c r="C26" s="33"/>
      <c r="D26" s="33"/>
      <c r="E26" s="33"/>
    </row>
    <row r="27" spans="1:5" x14ac:dyDescent="0.3">
      <c r="A27" s="33"/>
      <c r="B27" s="33"/>
      <c r="C27" s="33"/>
      <c r="D27" s="33"/>
      <c r="E27" s="33"/>
    </row>
    <row r="28" spans="1:5" x14ac:dyDescent="0.3">
      <c r="A28" s="32" t="s">
        <v>143</v>
      </c>
      <c r="B28" s="32" t="s">
        <v>144</v>
      </c>
      <c r="C28" s="32" t="s">
        <v>145</v>
      </c>
      <c r="D28" s="32" t="s">
        <v>146</v>
      </c>
      <c r="E28" s="32"/>
    </row>
    <row r="29" spans="1:5" x14ac:dyDescent="0.3">
      <c r="A29" s="40" t="s">
        <v>147</v>
      </c>
      <c r="B29" s="40">
        <f>B22/B23</f>
        <v>0.78317608722671805</v>
      </c>
      <c r="C29" s="40">
        <f>B9</f>
        <v>0.125</v>
      </c>
      <c r="D29" s="40">
        <f>B29*C29</f>
        <v>9.7897010903339757E-2</v>
      </c>
      <c r="E29" s="40"/>
    </row>
    <row r="30" spans="1:5" x14ac:dyDescent="0.3">
      <c r="A30" s="40" t="s">
        <v>62</v>
      </c>
      <c r="B30" s="40">
        <f>B19/B23</f>
        <v>0.21682391277328197</v>
      </c>
      <c r="C30" s="40">
        <f>B16</f>
        <v>4.4999999999999998E-2</v>
      </c>
      <c r="D30" s="40">
        <f>B30*C30</f>
        <v>9.7570760747976888E-3</v>
      </c>
      <c r="E30" s="40"/>
    </row>
    <row r="31" spans="1:5" x14ac:dyDescent="0.3">
      <c r="A31" s="33"/>
      <c r="B31" s="33"/>
      <c r="C31" s="33"/>
      <c r="D31" s="33"/>
      <c r="E31" s="33"/>
    </row>
    <row r="32" spans="1:5" x14ac:dyDescent="0.3">
      <c r="A32" s="61" t="s">
        <v>148</v>
      </c>
      <c r="B32" s="61"/>
      <c r="C32" s="61"/>
      <c r="D32" s="61">
        <f>SUM(D29:D30)</f>
        <v>0.10765408697813744</v>
      </c>
      <c r="E32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Income Statement</vt:lpstr>
      <vt:lpstr>Balance Sheet</vt:lpstr>
      <vt:lpstr>Cash Flow Statement</vt:lpstr>
      <vt:lpstr>Dashboard</vt:lpstr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Srivastav</dc:creator>
  <cp:lastModifiedBy>SANGAM Srivastav</cp:lastModifiedBy>
  <dcterms:created xsi:type="dcterms:W3CDTF">2026-08-07T11:55:49Z</dcterms:created>
  <dcterms:modified xsi:type="dcterms:W3CDTF">2026-08-16T11:57:14Z</dcterms:modified>
</cp:coreProperties>
</file>